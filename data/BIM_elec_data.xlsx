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ce_rules" sheetId="1" r:id="rId5"/>
    <sheet state="visible" name="seismic_req" sheetId="2" r:id="rId6"/>
    <sheet state="visible" name="power_equip" sheetId="3" r:id="rId7"/>
    <sheet state="visible" name="regulation_index" sheetId="4" r:id="rId8"/>
    <sheet state="visible" name="lighting_calc" sheetId="5" r:id="rId9"/>
    <sheet state="visible" name="fixture_family" sheetId="6" r:id="rId10"/>
  </sheets>
  <definedNames/>
  <calcPr/>
</workbook>
</file>

<file path=xl/sharedStrings.xml><?xml version="1.0" encoding="utf-8"?>
<sst xmlns="http://schemas.openxmlformats.org/spreadsheetml/2006/main" count="742" uniqueCount="548">
  <si>
    <t>space_id</t>
  </si>
  <si>
    <t>space_name_kr</t>
  </si>
  <si>
    <t>space_name_en</t>
  </si>
  <si>
    <t>area_ratio_%</t>
  </si>
  <si>
    <t>sample_area_m2</t>
  </si>
  <si>
    <t>illuminance_lux</t>
  </si>
  <si>
    <t>emergency_light</t>
  </si>
  <si>
    <t>backup_power_min</t>
  </si>
  <si>
    <t>exit_guide_light</t>
  </si>
  <si>
    <t>exit_guide_spacing_m</t>
  </si>
  <si>
    <t>exit_sign_type</t>
  </si>
  <si>
    <t>cctv_power</t>
  </si>
  <si>
    <t>ups_power</t>
  </si>
  <si>
    <t>explosion_proof</t>
  </si>
  <si>
    <t>grounding_required</t>
  </si>
  <si>
    <t>grounding_ohm</t>
  </si>
  <si>
    <t>PA_speaker_circuit</t>
  </si>
  <si>
    <t>fire_shutter_circuit</t>
  </si>
  <si>
    <t>seismic_Ip</t>
  </si>
  <si>
    <t>seismic_bracing</t>
  </si>
  <si>
    <t>cable_type</t>
  </si>
  <si>
    <t>conduit_type</t>
  </si>
  <si>
    <t>ip_rating_min</t>
  </si>
  <si>
    <t>circuit_class</t>
  </si>
  <si>
    <t>panel_breaker</t>
  </si>
  <si>
    <t>kds_clause</t>
  </si>
  <si>
    <t>nfpc_clause</t>
  </si>
  <si>
    <t>accessibility</t>
  </si>
  <si>
    <t>notes</t>
  </si>
  <si>
    <t>SR-01</t>
  </si>
  <si>
    <t>대합실</t>
  </si>
  <si>
    <t>Concourse</t>
  </si>
  <si>
    <t>-</t>
  </si>
  <si>
    <t>대형피난구유도등(대형)</t>
  </si>
  <si>
    <t>100Ω 이하</t>
  </si>
  <si>
    <t>TRUE (비상전원+상용 이중화)</t>
  </si>
  <si>
    <t>종방향+횡방향</t>
  </si>
  <si>
    <t>HIV 2.5mm²</t>
  </si>
  <si>
    <t>CD관(PF관)</t>
  </si>
  <si>
    <t>IP20</t>
  </si>
  <si>
    <t>상용조명·전열 / 비상조명</t>
  </si>
  <si>
    <t>20A 2P ELB</t>
  </si>
  <si>
    <t>KDS 31 17 00 §4.2.1</t>
  </si>
  <si>
    <t>NFPC 303 §5②</t>
  </si>
  <si>
    <t>지하역사 대형피난구유도등 필수 / PA스피커 비상+상용이중화 / 전동보장구충전시설 / 비상전원 60분</t>
  </si>
  <si>
    <t>SR-02</t>
  </si>
  <si>
    <t>승강장</t>
  </si>
  <si>
    <t>Platform</t>
  </si>
  <si>
    <t>IP44</t>
  </si>
  <si>
    <t>KDS 31 17 00 §4.2.2</t>
  </si>
  <si>
    <t>승강장 200lux / IP44(우천) / PA스피커 비상+상용 이중화 / 스크린도어 전원 연계 / 비상전원 60분</t>
  </si>
  <si>
    <t>SR-03</t>
  </si>
  <si>
    <t>통로·계단</t>
  </si>
  <si>
    <t>Corridor &amp; Stair</t>
  </si>
  <si>
    <t>복도통로유도등 + 계단통로유도등</t>
  </si>
  <si>
    <t>TRUE (비상전원 전용)</t>
  </si>
  <si>
    <t>TRUE (비상전원 독립회로)</t>
  </si>
  <si>
    <t>4방향 내진브레이싱</t>
  </si>
  <si>
    <t>FR-8 1.5mm² (3선식 내화)</t>
  </si>
  <si>
    <t>HFIX관(내화)</t>
  </si>
  <si>
    <t>비상조명·전열 전용회로</t>
  </si>
  <si>
    <t>15A 2P 전용</t>
  </si>
  <si>
    <t>KDS 31 17 00 §4.3 / KDS 32 25 10</t>
  </si>
  <si>
    <t>NFPC 303 §6①</t>
  </si>
  <si>
    <t>바닥 매립 유도등 / 20m마다 / 3선식 항시점등 / 방화셔터 비상전원 독립 / 내진Ip=1.5 / 비상전원 60분</t>
  </si>
  <si>
    <t>SR-04</t>
  </si>
  <si>
    <t>기계실</t>
  </si>
  <si>
    <t>Mechanical Room</t>
  </si>
  <si>
    <t>해당없음</t>
  </si>
  <si>
    <t>10Ω 이하</t>
  </si>
  <si>
    <t>HFIX 2.5mm² (내열)</t>
  </si>
  <si>
    <t>금속제 강전선관(후강)</t>
  </si>
  <si>
    <t>IP67 (Ex e IIC T4)</t>
  </si>
  <si>
    <t>방폭전용회로</t>
  </si>
  <si>
    <t>20A 3P MCCB</t>
  </si>
  <si>
    <t>KEC 242.2 / KDS 32 10 11 §3.3</t>
  </si>
  <si>
    <t>방폭등(Ex e IIC T4) / 접지 10Ω / 환기연동 / IP67 / 내진Ip=1.5</t>
  </si>
  <si>
    <t>SR-05</t>
  </si>
  <si>
    <t>역무실</t>
  </si>
  <si>
    <t>Station Office</t>
  </si>
  <si>
    <t>CV 6mm² (UPS간선)</t>
  </si>
  <si>
    <t>UPS전용간선 + 상용조명</t>
  </si>
  <si>
    <t>30A 2P ELB</t>
  </si>
  <si>
    <t>KDS 32 20 20 §4.3 / KDS 31 17 00</t>
  </si>
  <si>
    <t>UPS 무정전전원 / 500lux / 전산통신 이중화 / 내진Ip=1.5(제어반/예비전원)</t>
  </si>
  <si>
    <t>item_id</t>
  </si>
  <si>
    <t>equipment_kr</t>
  </si>
  <si>
    <t>equipment_en</t>
  </si>
  <si>
    <t>applicable_space</t>
  </si>
  <si>
    <t>Ip_reason</t>
  </si>
  <si>
    <t>bracing_type</t>
  </si>
  <si>
    <t>anchor_type</t>
  </si>
  <si>
    <t>flexible_joint</t>
  </si>
  <si>
    <t>stopper_required</t>
  </si>
  <si>
    <t>install_note</t>
  </si>
  <si>
    <t>SQ-01</t>
  </si>
  <si>
    <t>소방·비상 예비전원설비 (UPS/발전기)</t>
  </si>
  <si>
    <t>Emergency Power Supply</t>
  </si>
  <si>
    <t>기계실, 역무실</t>
  </si>
  <si>
    <t>KDS 32 17 10 §1.2①: 소방부하/비상부하 예비전원설비</t>
  </si>
  <si>
    <t>4방향 내진브레이싱 (리지드형)</t>
  </si>
  <si>
    <t>앵커볼트 M12+ / 상부구속</t>
  </si>
  <si>
    <t>KDS 32 17 10 §1.2①</t>
  </si>
  <si>
    <t>지진 후 기능 유지 / 콘크리트 앵커 매입 75mm 이상</t>
  </si>
  <si>
    <t>SQ-02</t>
  </si>
  <si>
    <t>배분전반·제어반·배선설비</t>
  </si>
  <si>
    <t>Distribution &amp; Control Panel</t>
  </si>
  <si>
    <t>KDS 32 17 10 §1.2①: 인명안전 기능유지</t>
  </si>
  <si>
    <t>앵커볼트 M10+ / 하부고정</t>
  </si>
  <si>
    <t>전후좌우 4방향 / 케이블트레이 유연성 이음장치</t>
  </si>
  <si>
    <t>SQ-03</t>
  </si>
  <si>
    <t>피난경로 비상조명등</t>
  </si>
  <si>
    <t>Emergency Lighting (Evac.)</t>
  </si>
  <si>
    <t>통로·계단, 대합실</t>
  </si>
  <si>
    <t>KDS 32 17 10 §1.2②: 피난경로 비상조명</t>
  </si>
  <si>
    <t>케이블식 또는 리지드형</t>
  </si>
  <si>
    <t>천장 앵커볼트 M8+</t>
  </si>
  <si>
    <t>KDS 32 17 10 §1.2②</t>
  </si>
  <si>
    <t>피난경로 전구간 / 지진 후 60분 이상</t>
  </si>
  <si>
    <t>SQ-04</t>
  </si>
  <si>
    <t>피난경로 유도등·배선설비</t>
  </si>
  <si>
    <t>Exit Guide Lights</t>
  </si>
  <si>
    <t>통로·계단, 대합실, 승강장</t>
  </si>
  <si>
    <t>KDS 32 17 10 §1.2②: 피난경로 유도등</t>
  </si>
  <si>
    <t>벽·바닥 앵커볼트 M8+</t>
  </si>
  <si>
    <t>바닥 매립형 별도 / 유연성 이음장치</t>
  </si>
  <si>
    <t>SQ-05</t>
  </si>
  <si>
    <t>비상방송설비 전원·배선</t>
  </si>
  <si>
    <t>PA System Power &amp; Wiring</t>
  </si>
  <si>
    <t>대합실, 승강장, 통로·계단</t>
  </si>
  <si>
    <t>KDS 32 17 10 §1.2①: 소방부하 (비상방송)</t>
  </si>
  <si>
    <t>케이블식 내진브레이싱</t>
  </si>
  <si>
    <t>천장·벽 앵커볼트 M8+</t>
  </si>
  <si>
    <t>KDS 32 17 10 §1.2① / 소방시설법</t>
  </si>
  <si>
    <t>지진 후 방재실 방송 기능 유지 / 내화배선</t>
  </si>
  <si>
    <t>SQ-06</t>
  </si>
  <si>
    <t>케이블트레이·버스덕트·전선관</t>
  </si>
  <si>
    <t>Cable Tray / Conduit</t>
  </si>
  <si>
    <t>전 구역 (주간선)</t>
  </si>
  <si>
    <t>KDS 32 17 10 §1.2①: 인명안전 배선설비</t>
  </si>
  <si>
    <t>횡방향+종방향 (12m 이하 간격)</t>
  </si>
  <si>
    <t>상부고정대 앵커볼트 M10+</t>
  </si>
  <si>
    <t>KDS 32 17 10 §2</t>
  </si>
  <si>
    <t>단부·방향전환점 추가 지지 / 세장비(L/r) 검토</t>
  </si>
  <si>
    <t>SQ-07</t>
  </si>
  <si>
    <t>일반 조명기구 (비피난경로)</t>
  </si>
  <si>
    <t>General Lighting</t>
  </si>
  <si>
    <t>대합실, 승강장, 역무실</t>
  </si>
  <si>
    <t>KDS 32 17 10 §1.2(2): Ip=1.0</t>
  </si>
  <si>
    <t>종방향 내진지지대</t>
  </si>
  <si>
    <t>KDS 32 17 10 §1.2(2)</t>
  </si>
  <si>
    <t>KDS 41 17 00 §18.1.1(2) 해당 시 내진 불요</t>
  </si>
  <si>
    <t>equip_id</t>
  </si>
  <si>
    <t>type_kr</t>
  </si>
  <si>
    <t>type_en</t>
  </si>
  <si>
    <t>space</t>
  </si>
  <si>
    <t>kW</t>
  </si>
  <si>
    <t>volt_V</t>
  </si>
  <si>
    <t>phase</t>
  </si>
  <si>
    <t>current_A</t>
  </si>
  <si>
    <t>starter</t>
  </si>
  <si>
    <t>control</t>
  </si>
  <si>
    <t>cable</t>
  </si>
  <si>
    <t>cable_mm2</t>
  </si>
  <si>
    <t>breaker_A</t>
  </si>
  <si>
    <t>protection</t>
  </si>
  <si>
    <t>backup</t>
  </si>
  <si>
    <t>kds_ref</t>
  </si>
  <si>
    <t>qty_note</t>
  </si>
  <si>
    <t>PE-01</t>
  </si>
  <si>
    <t>환기팬 (기계실)</t>
  </si>
  <si>
    <t>Ventilation Fan</t>
  </si>
  <si>
    <t>Y-△ 기동</t>
  </si>
  <si>
    <t>MCCB+MC+THR</t>
  </si>
  <si>
    <t>CV</t>
  </si>
  <si>
    <t>20A MCCB 3P</t>
  </si>
  <si>
    <t>THR+EOCR</t>
  </si>
  <si>
    <t>KDS 32 25 20 §2.1 / KDS 32 10 11</t>
  </si>
  <si>
    <t>기계실당 주1+예비1</t>
  </si>
  <si>
    <t>방폭구역 → Ex e IIC / 비상전원 연계 / 내진Ip=1.5</t>
  </si>
  <si>
    <t>PE-02</t>
  </si>
  <si>
    <t>승객용 엘리베이터</t>
  </si>
  <si>
    <t>Passenger Elevator</t>
  </si>
  <si>
    <t>대합실↔승강장</t>
  </si>
  <si>
    <t>VVVF 인버터</t>
  </si>
  <si>
    <t>MCC+인버터+전용제어반</t>
  </si>
  <si>
    <t>50A MCCB 3P</t>
  </si>
  <si>
    <t>OCGR+과부하</t>
  </si>
  <si>
    <t>KDS 32 25 30 §1.6.1 / 승강기안전관리법</t>
  </si>
  <si>
    <t>정격하중 630kg+ / 속도 1.0m/s+</t>
  </si>
  <si>
    <t>비상전원 연계 / 장애인 전용 의무 / KS B ISO 4190 / 내진Ip=1.5</t>
  </si>
  <si>
    <t>PE-03</t>
  </si>
  <si>
    <t>에스컬레이터</t>
  </si>
  <si>
    <t>Escalator</t>
  </si>
  <si>
    <t>Y-△ 또는 VVVF</t>
  </si>
  <si>
    <t>MCC+전용제어반+역전방지</t>
  </si>
  <si>
    <t>63A MCCB 3P</t>
  </si>
  <si>
    <t>OCGR+제동과열</t>
  </si>
  <si>
    <t>KDS 32 25 30 §1.6.2 / 승강기안전관리법</t>
  </si>
  <si>
    <t>역사당 2대+</t>
  </si>
  <si>
    <t>KS B 6918 / 역전방지 / EMC / 정격속도 0.5m/s 이하</t>
  </si>
  <si>
    <t>PE-04</t>
  </si>
  <si>
    <t>배수 수중펌프</t>
  </si>
  <si>
    <t>Submersible Pump</t>
  </si>
  <si>
    <t>기계실(지하 피트)</t>
  </si>
  <si>
    <t>직입 기동</t>
  </si>
  <si>
    <t>MCC+수위자동제어</t>
  </si>
  <si>
    <t>20A MCCB 2P</t>
  </si>
  <si>
    <t>THR+수위릴레이</t>
  </si>
  <si>
    <t>KDS 32 25 20 §2.3</t>
  </si>
  <si>
    <t>주1+예비1 자동교대</t>
  </si>
  <si>
    <t>침수방지 필수 / 비상전원 연계 / IP68 / 내진Ip=1.5</t>
  </si>
  <si>
    <t>PE-05</t>
  </si>
  <si>
    <t>공기조화기 (AHU)</t>
  </si>
  <si>
    <t>Air Handling Unit</t>
  </si>
  <si>
    <t>Y-△ 또는 인버터</t>
  </si>
  <si>
    <t>MCC+VFD+BAS연동</t>
  </si>
  <si>
    <t>100A MCCB 3P</t>
  </si>
  <si>
    <t>THR+OCGR</t>
  </si>
  <si>
    <t>KDS 32 25 20 §2.1</t>
  </si>
  <si>
    <t>환경 기준 대수 결정</t>
  </si>
  <si>
    <t>정전 시 배기운전 / BAS 연동 / 내진Ip=1.5</t>
  </si>
  <si>
    <t>PE-06</t>
  </si>
  <si>
    <t>전동보장구 충전시설</t>
  </si>
  <si>
    <t>Mobility Charger</t>
  </si>
  <si>
    <t>단순 플러그인</t>
  </si>
  <si>
    <t>전용콘센트+ELB</t>
  </si>
  <si>
    <t>HIV</t>
  </si>
  <si>
    <t>15A ELB 2P</t>
  </si>
  <si>
    <t>ELB(누전)</t>
  </si>
  <si>
    <t>장애인편의시설법 §16①</t>
  </si>
  <si>
    <t>대합실당 1개소+</t>
  </si>
  <si>
    <t>✅ 높이 0.4~1.2m / 의무 설치 / 접근 통로 확보</t>
  </si>
  <si>
    <t>reg_id</t>
  </si>
  <si>
    <t>code</t>
  </si>
  <si>
    <t>title_kr</t>
  </si>
  <si>
    <t>category</t>
  </si>
  <si>
    <t>issuer</t>
  </si>
  <si>
    <t>latest_ver</t>
  </si>
  <si>
    <t>applicable_to</t>
  </si>
  <si>
    <t>key_clauses</t>
  </si>
  <si>
    <t>file_in_folder</t>
  </si>
  <si>
    <t>RI-01</t>
  </si>
  <si>
    <t>KDS 31 17 00</t>
  </si>
  <si>
    <t>철도 전기설비 설계기준</t>
  </si>
  <si>
    <t>KDS</t>
  </si>
  <si>
    <t>국토교통부</t>
  </si>
  <si>
    <t>5개 공간 전체</t>
  </si>
  <si>
    <t>§4.2 조도 / §4.5 비상조명 / 공간별 요구사항</t>
  </si>
  <si>
    <t>경진대회 핵심 기준</t>
  </si>
  <si>
    <t>RI-02</t>
  </si>
  <si>
    <t>KDS 32 10 10</t>
  </si>
  <si>
    <t>전기설비 일반사항</t>
  </si>
  <si>
    <t>전 공간</t>
  </si>
  <si>
    <t>§3 설계단계 / §4 설계도서</t>
  </si>
  <si>
    <t>KDS_32_10_10_전기설비일반사항.pdf</t>
  </si>
  <si>
    <t>RI-03</t>
  </si>
  <si>
    <t>KDS 32 10 11</t>
  </si>
  <si>
    <t>전기설비 관련 시설공간</t>
  </si>
  <si>
    <t>기계실, 전기실</t>
  </si>
  <si>
    <t>§3.3 방폭 장소 / 전기실 설계</t>
  </si>
  <si>
    <t>KDS_32_10_11_전기설비관련시설.pdf</t>
  </si>
  <si>
    <t>RI-04</t>
  </si>
  <si>
    <t>KDS 32 17 10</t>
  </si>
  <si>
    <t>전기설비 내진설계기준</t>
  </si>
  <si>
    <t>비상전원·배분전반·피난경로 설비</t>
  </si>
  <si>
    <t>§1.2①② Ip=1.5 / 내진지지대 / 유연성이음</t>
  </si>
  <si>
    <t>KDS_32_17_10_내진설비.pdf</t>
  </si>
  <si>
    <t>RI-05</t>
  </si>
  <si>
    <t>KDS 32 20 20</t>
  </si>
  <si>
    <t>예비전원설비</t>
  </si>
  <si>
    <t>역무실, 기계실</t>
  </si>
  <si>
    <t>§4.3 UPS / P=출력/효율×λ+충전6~10%</t>
  </si>
  <si>
    <t>KDS_32_20_20_예비전원설비.pdf</t>
  </si>
  <si>
    <t>RI-06</t>
  </si>
  <si>
    <t>KDS 32 25 10</t>
  </si>
  <si>
    <t>간선 및 배선설비</t>
  </si>
  <si>
    <t>전 공간 배선</t>
  </si>
  <si>
    <t>§3 간선 6종 분류 / HIV·FR-8·CV / 설계순서</t>
  </si>
  <si>
    <t>KDS_32_25_10_간선및배선설비.pdf</t>
  </si>
  <si>
    <t>RI-07</t>
  </si>
  <si>
    <t>KDS 32 25 20</t>
  </si>
  <si>
    <t>동력설비</t>
  </si>
  <si>
    <t>기계실 (팬·펌프·AHU)</t>
  </si>
  <si>
    <t>§2.1 전동기 전원공급 / 보호계전기 / 기동방식</t>
  </si>
  <si>
    <t>KDS_32_25_20_동력설비.pdf</t>
  </si>
  <si>
    <t>RI-08</t>
  </si>
  <si>
    <t>KDS 32 25 30</t>
  </si>
  <si>
    <t>반송설비 (엘리베이터·에스컬레이터)</t>
  </si>
  <si>
    <t>§1.6.1 엘리베이터 630kg+·1.0m/s+ / §1.6.2 에스컬레이터</t>
  </si>
  <si>
    <t>KDS_32_25_30_반송설비.pdf</t>
  </si>
  <si>
    <t>RI-09</t>
  </si>
  <si>
    <t>KCS 31 계열 (다수)</t>
  </si>
  <si>
    <t>철도 전기설비 시공기준</t>
  </si>
  <si>
    <t>KCS</t>
  </si>
  <si>
    <t>전 공간 시공</t>
  </si>
  <si>
    <t>조명·전력·신호·접지 시공 세부</t>
  </si>
  <si>
    <t>KCS 31 xx xx HWP 다수</t>
  </si>
  <si>
    <t>RI-10</t>
  </si>
  <si>
    <t>KEC 2024</t>
  </si>
  <si>
    <t>한국전기설비규정 (9차 개정)</t>
  </si>
  <si>
    <t>KEC</t>
  </si>
  <si>
    <t>산업통상자원부</t>
  </si>
  <si>
    <t>2024.10.24 (공고 제2024-749호)</t>
  </si>
  <si>
    <t>§121~122 전선선정 / §141~143 접지 / §151~153 피뢰 / §242 방폭</t>
  </si>
  <si>
    <t>KEC_1.pdf / KEC_2.pdf</t>
  </si>
  <si>
    <t>RI-11</t>
  </si>
  <si>
    <t>NFPC 303</t>
  </si>
  <si>
    <t>유도등·유도표지 화재안전성능기준</t>
  </si>
  <si>
    <t>소방(NFPC)</t>
  </si>
  <si>
    <t>소방청</t>
  </si>
  <si>
    <t>§5② 지하역사 대형피난구유도등 / §6① 20m / 바닥매립 / 3선식 / 60분</t>
  </si>
  <si>
    <t>light.pdf</t>
  </si>
  <si>
    <t>RI-12</t>
  </si>
  <si>
    <t>소방시설법 §44 / NFSC 102</t>
  </si>
  <si>
    <t>비상방송설비 화재안전기준</t>
  </si>
  <si>
    <t>소방(NFSC)</t>
  </si>
  <si>
    <t>✅ 비상방송 전용 독립회로 / 비상전원 60분 / 내화배선</t>
  </si>
  <si>
    <t>비상방송 별도 기준 확인 필요</t>
  </si>
  <si>
    <t>RI-13</t>
  </si>
  <si>
    <t>건축법 §46 / 소방시설법</t>
  </si>
  <si>
    <t>방화구획·방화셔터</t>
  </si>
  <si>
    <t>건축법</t>
  </si>
  <si>
    <t>국토교통부/소방청</t>
  </si>
  <si>
    <t>통로·계단 (방화구획 경계)</t>
  </si>
  <si>
    <t>✅ 방화셔터 전원 독립회로 / 감지기 자동연동 / 비상전원</t>
  </si>
  <si>
    <t>방화셔터 독립전원 법령 확인 필요</t>
  </si>
  <si>
    <t>RI-14</t>
  </si>
  <si>
    <t>장애인·노인·임산부 편의증진 보장법</t>
  </si>
  <si>
    <t>장애인 편의시설 설치 의무</t>
  </si>
  <si>
    <t>복지법령</t>
  </si>
  <si>
    <t>보건복지부</t>
  </si>
  <si>
    <t>대합실 (공공시설)</t>
  </si>
  <si>
    <t>§16① 전동보장구충전 / ✅ 콘센트 높이 0.4~1.2m</t>
  </si>
  <si>
    <t>disabled.pdf</t>
  </si>
  <si>
    <t>RI-15</t>
  </si>
  <si>
    <t>서울교통공사_역사건축정보_20250310.csv</t>
  </si>
  <si>
    <t>서울 지하철역사 건축현황</t>
  </si>
  <si>
    <t>참고데이터</t>
  </si>
  <si>
    <t>서울교통공사</t>
  </si>
  <si>
    <t>2025.03.10</t>
  </si>
  <si>
    <t>면적 산출 기준</t>
  </si>
  <si>
    <t>276개역 / 섬식B2 평균 7,216m² / 승강장 유형·면적·층수</t>
  </si>
  <si>
    <t>CSV 파일 (Datas/station_data/)</t>
  </si>
  <si>
    <t>design_lux_E</t>
  </si>
  <si>
    <t>area_m2</t>
  </si>
  <si>
    <t>fixture_type</t>
  </si>
  <si>
    <t>lumen_F</t>
  </si>
  <si>
    <t>util_factor_U</t>
  </si>
  <si>
    <t>maint_factor_M</t>
  </si>
  <si>
    <t>fixture_count</t>
  </si>
  <si>
    <t>ceiling_h_m</t>
  </si>
  <si>
    <t>room_index_K</t>
  </si>
  <si>
    <t>spacing_m</t>
  </si>
  <si>
    <t>refl_ceil_%</t>
  </si>
  <si>
    <t>refl_wall_%</t>
  </si>
  <si>
    <t>refl_floor_%</t>
  </si>
  <si>
    <t>color_temp_K</t>
  </si>
  <si>
    <t>CRI</t>
  </si>
  <si>
    <t>watt_W</t>
  </si>
  <si>
    <t>total_W</t>
  </si>
  <si>
    <t>LPD_W_m2</t>
  </si>
  <si>
    <t>circuit_count</t>
  </si>
  <si>
    <t>data_source</t>
  </si>
  <si>
    <t>LED 패널라이트 600×600 (40W/5400lm)</t>
  </si>
  <si>
    <t>서울교통공사 역사건축정보 20250310 / 섬식B2 평균7,216m²×30%</t>
  </si>
  <si>
    <t>비상회로 30% 별도 추가 필요</t>
  </si>
  <si>
    <t>서울교통공사 역사건축정보 20250310 / 섬식B2 평균7,216m²×20%</t>
  </si>
  <si>
    <t>IP44 이상 / 스크린도어 조명 별도</t>
  </si>
  <si>
    <t>LED 다운라이트 Ø150 (15W/1800lm)</t>
  </si>
  <si>
    <t>서울교통공사 역사건축정보 20250310 / 섬식B2 평균7,216m²×25%</t>
  </si>
  <si>
    <t>NFPC 303 §6 유도등 간격 별도 / FR-8 내화배선</t>
  </si>
  <si>
    <t>방폭형 LED Ø250 Ex e IIC T4 (30W/3600lm)</t>
  </si>
  <si>
    <t>서울교통공사 역사건축정보 20250310 / 섬식B2 평균7,216m²×8%</t>
  </si>
  <si>
    <t>KEC 242 방폭 / IP67 / 접지 10Ω</t>
  </si>
  <si>
    <t>서울교통공사 역사건축정보 20250310 / 섬식B2 평균7,216m²×5%</t>
  </si>
  <si>
    <t>CRI≥85 / UGR≤19 / UPS전원</t>
  </si>
  <si>
    <t>family_id</t>
  </si>
  <si>
    <t>revit_family</t>
  </si>
  <si>
    <t>face_type</t>
  </si>
  <si>
    <t>lumen_lm</t>
  </si>
  <si>
    <t>ip_rating</t>
  </si>
  <si>
    <t>install_method</t>
  </si>
  <si>
    <t>mount_height_m</t>
  </si>
  <si>
    <t>spacing_rule</t>
  </si>
  <si>
    <t>dim_mm</t>
  </si>
  <si>
    <t>circuit_type</t>
  </si>
  <si>
    <t>backup_min</t>
  </si>
  <si>
    <t>seismic_anchor</t>
  </si>
  <si>
    <t>qty_formula</t>
  </si>
  <si>
    <t>nfpc_ref</t>
  </si>
  <si>
    <t>FF-01</t>
  </si>
  <si>
    <t>LED 매입 패널라이트</t>
  </si>
  <si>
    <t>LED Recessed Panel Light</t>
  </si>
  <si>
    <t>M_Lighting Fixture Recessed.rfa</t>
  </si>
  <si>
    <t>CEILING</t>
  </si>
  <si>
    <t>천장매입</t>
  </si>
  <si>
    <t>매입(천장면)</t>
  </si>
  <si>
    <t>루멘법 산출 / 등간격</t>
  </si>
  <si>
    <t>600×600×80</t>
  </si>
  <si>
    <t>상용 조명·전열 회로</t>
  </si>
  <si>
    <t>상부+하부고정대(종방향)</t>
  </si>
  <si>
    <t>N=ROUNDUP((E×A)/(F×U×M),0)</t>
  </si>
  <si>
    <t>KDS 31 17 00 §4.2</t>
  </si>
  <si>
    <t xml:space="preserve">- </t>
  </si>
  <si>
    <t>CRI≥80 / 4000K / UGR≤22 / Dynamo FamilyInstance</t>
  </si>
  <si>
    <t>FF-02</t>
  </si>
  <si>
    <t>비상용 LED 조명</t>
  </si>
  <si>
    <t>Emergency LED Light</t>
  </si>
  <si>
    <t>M_Emergency Light.rfa</t>
  </si>
  <si>
    <t>220/DC24</t>
  </si>
  <si>
    <t>천장매입/노출</t>
  </si>
  <si>
    <t>0.3m 이상(바닥)</t>
  </si>
  <si>
    <t>비상구·피난통로 인접</t>
  </si>
  <si>
    <t>300×300×80</t>
  </si>
  <si>
    <t>FR-8 2.5mm² (내화배선)</t>
  </si>
  <si>
    <t>HFIX관</t>
  </si>
  <si>
    <t>비상조명 전용회로</t>
  </si>
  <si>
    <t>비상구 인접 1개 이상</t>
  </si>
  <si>
    <t>KDS 31 17 00 §4.5 / KDS 32 17 10</t>
  </si>
  <si>
    <t>NFPC 303 §10②</t>
  </si>
  <si>
    <t>비상전원 60분 / 내화배선 / 내진Ip=1.5</t>
  </si>
  <si>
    <t>FF-03</t>
  </si>
  <si>
    <t>복도통로유도등</t>
  </si>
  <si>
    <t>Corridor Exit Guide Light</t>
  </si>
  <si>
    <t>M_Exit Light Corridor.rfa</t>
  </si>
  <si>
    <t>FLOOR_EMBED</t>
  </si>
  <si>
    <t>220/DC</t>
  </si>
  <si>
    <t>바닥 중앙 매립 (지하역사 특례)</t>
  </si>
  <si>
    <t>바닥면 (0.1m 이하)</t>
  </si>
  <si>
    <t>보행거리 20m마다</t>
  </si>
  <si>
    <t>400×120×30</t>
  </si>
  <si>
    <t>FR-8 1.5mm² (3선식 내화배선)</t>
  </si>
  <si>
    <t>비상전용 3선식 항시점등</t>
  </si>
  <si>
    <t>N=ROUNDUP(통로길이/20,0)+1</t>
  </si>
  <si>
    <t>NFPC 303 §6①-1(나)</t>
  </si>
  <si>
    <t>지하역사 특례: 복도 중앙 바닥 매립 / 항시점등 / 내진Ip=1.5</t>
  </si>
  <si>
    <t>FF-04</t>
  </si>
  <si>
    <t>대형피난구유도등</t>
  </si>
  <si>
    <t>Large Exit Sign</t>
  </si>
  <si>
    <t>M_Exit Sign Large.rfa</t>
  </si>
  <si>
    <t>WALL</t>
  </si>
  <si>
    <t>대합실, 승강장, 통로</t>
  </si>
  <si>
    <t>출입구 상단 벽부착 / 천장수직</t>
  </si>
  <si>
    <t>바닥 1.5m 이상</t>
  </si>
  <si>
    <t>출입구마다 1개</t>
  </si>
  <si>
    <t>600×200×40</t>
  </si>
  <si>
    <t>FR-8 1.5mm² (3선식)</t>
  </si>
  <si>
    <t>비상전용 3선식</t>
  </si>
  <si>
    <t>출입구 수량×1 (+천장 수직 추가)</t>
  </si>
  <si>
    <t>NFPC 303 §5②③</t>
  </si>
  <si>
    <t>지하역사 필수(대형) / 천장 수직 추가 / 장애인 시각정보 연계</t>
  </si>
  <si>
    <t>FF-05</t>
  </si>
  <si>
    <t>계단통로유도등</t>
  </si>
  <si>
    <t>Stairway Exit Guide Light</t>
  </si>
  <si>
    <t>M_Exit Light Stair.rfa</t>
  </si>
  <si>
    <t>벽면부착</t>
  </si>
  <si>
    <t>바닥 1m 이하</t>
  </si>
  <si>
    <t>각층 계단참마다</t>
  </si>
  <si>
    <t>300×100×30</t>
  </si>
  <si>
    <t>앵커볼트 고정</t>
  </si>
  <si>
    <t>계단참 수×1</t>
  </si>
  <si>
    <t>NFPC 303 §6①-3</t>
  </si>
  <si>
    <t>각층 경사로 참 또는 계단참마다</t>
  </si>
  <si>
    <t>FF-06</t>
  </si>
  <si>
    <t>방폭형 LED 조명</t>
  </si>
  <si>
    <t>Explosion-Proof LED</t>
  </si>
  <si>
    <t>M_Lighting Fixture Explosion Proof.rfa</t>
  </si>
  <si>
    <t>천장 노출/매입</t>
  </si>
  <si>
    <t>천장면</t>
  </si>
  <si>
    <t>루멘법 산출</t>
  </si>
  <si>
    <t>250×250×130</t>
  </si>
  <si>
    <t>4방향 내진브레이싱+방폭배관</t>
  </si>
  <si>
    <t>KEC 242.2 / KDS 32 10 11</t>
  </si>
  <si>
    <t>Ex e IIC T4 이상 / 접지 10Ω / 내진Ip=1.5</t>
  </si>
  <si>
    <t>FF-07</t>
  </si>
  <si>
    <t>CCTV 전용 콘센트</t>
  </si>
  <si>
    <t>CCTV Power Outlet</t>
  </si>
  <si>
    <t>M_Power Outlet CCTV.rfa</t>
  </si>
  <si>
    <t>대합실, 승강장</t>
  </si>
  <si>
    <t>벽부착 노출</t>
  </si>
  <si>
    <t>바닥 0.3~1.5m</t>
  </si>
  <si>
    <t>CCTV 위치 인접</t>
  </si>
  <si>
    <t>75×75×45</t>
  </si>
  <si>
    <t>CD관</t>
  </si>
  <si>
    <t>상용 전용 분기</t>
  </si>
  <si>
    <t>앵커볼트</t>
  </si>
  <si>
    <t>CCTV 대수×1</t>
  </si>
  <si>
    <t>CCTV당 1개 / 방수형</t>
  </si>
  <si>
    <t>FF-08</t>
  </si>
  <si>
    <t>UPS 분기 단자함</t>
  </si>
  <si>
    <t>UPS Distribution Terminal</t>
  </si>
  <si>
    <t>M_Electrical Panel UPS.rfa</t>
  </si>
  <si>
    <t>벽매입</t>
  </si>
  <si>
    <t>바닥 1.2~1.5m</t>
  </si>
  <si>
    <t>역무실 전용</t>
  </si>
  <si>
    <t>300×200×100</t>
  </si>
  <si>
    <t>UPS 전용간선</t>
  </si>
  <si>
    <t>상부+하부고정대</t>
  </si>
  <si>
    <t>역무실 부하합계×수용률</t>
  </si>
  <si>
    <t>KDS 32 20 20 §4.3</t>
  </si>
  <si>
    <t>UPS 연결 / 전산통신 이중화 / 내진Ip=1.5</t>
  </si>
  <si>
    <t>FF-09</t>
  </si>
  <si>
    <t>Electric Mobility Charger</t>
  </si>
  <si>
    <t>M_Power Outlet Accessible.rfa</t>
  </si>
  <si>
    <t>벽부착</t>
  </si>
  <si>
    <t>바닥 0.4~1.2m</t>
  </si>
  <si>
    <t>장애인 편의시설 인접</t>
  </si>
  <si>
    <t>150×200×80</t>
  </si>
  <si>
    <t>상용 일반회로</t>
  </si>
  <si>
    <t>편의시설당 1개소 이상</t>
  </si>
  <si>
    <t>✅ 높이 0.4~1.2m / 법적 의무 / 공공시설 / 접근 통로 확보</t>
  </si>
  <si>
    <t>FF-10</t>
  </si>
  <si>
    <t>비상용 콘센트</t>
  </si>
  <si>
    <t>Emergency Power Outlet</t>
  </si>
  <si>
    <t>M_Power Outlet Emergency.rfa</t>
  </si>
  <si>
    <t>통로·계단, 승강장</t>
  </si>
  <si>
    <t>바닥 0.8~1.2m</t>
  </si>
  <si>
    <t>소방법: 반경 25m 이내</t>
  </si>
  <si>
    <t>비상전용 (소방)</t>
  </si>
  <si>
    <t>소방대 진입경로 25m 반경</t>
  </si>
  <si>
    <t>KDS 32 25 10 / 소방시설법</t>
  </si>
  <si>
    <t>내화배선 필수 / 지하 2층 이하 의무</t>
  </si>
  <si>
    <t>FF-11</t>
  </si>
  <si>
    <t>비상방송 스피커</t>
  </si>
  <si>
    <t>Emergency PA Speaker</t>
  </si>
  <si>
    <t>M_Speaker Emergency.rfa</t>
  </si>
  <si>
    <t>천장 매달림 / 벽부착</t>
  </si>
  <si>
    <t>천장 또는 바닥 2.5m 이상</t>
  </si>
  <si>
    <t>청취가능 반경 25m 이내</t>
  </si>
  <si>
    <t>Ø200×150</t>
  </si>
  <si>
    <t>FR-8 1.5mm² (내화배선)</t>
  </si>
  <si>
    <t>비상방송 전용회로 (상용+비상 이중화)</t>
  </si>
  <si>
    <t>N=ROUNDUP(공간면적/600,0) (KFI 기준)</t>
  </si>
  <si>
    <t>KDS 31 17 00 / 소방시설법</t>
  </si>
  <si>
    <t>소방시설법 §44</t>
  </si>
  <si>
    <t>✅ 비상방송 전용 독립 회로 / 비상전원 60분 이상 / 내화배선 필수 / 내진Ip=1.5 / 화재·지진 시 방재실 연동</t>
  </si>
  <si>
    <t>FF-12</t>
  </si>
  <si>
    <t>방화셔터 제어반</t>
  </si>
  <si>
    <t>Fire Shutter Control Panel</t>
  </si>
  <si>
    <t>M_Fire Shutter Control.rfa</t>
  </si>
  <si>
    <t>벽매입 / 셔터 인접 벽</t>
  </si>
  <si>
    <t>방화셔터마다 1개 (감지기 연동)</t>
  </si>
  <si>
    <t>300×300×150</t>
  </si>
  <si>
    <t>방화셔터 전원 독립 회로 (비상전원 연계)</t>
  </si>
  <si>
    <t>방화셔터 수량×1</t>
  </si>
  <si>
    <t>KDS 32 25 10 / 건축법 §46 / 소방시설법</t>
  </si>
  <si>
    <t>✅ 방화셔터 독립 전용 회로 의무 / 비상전원 60분 / 감지기 연동 자동폐쇄 / 수동조작함 겸용 / 내화배선 / 내진Ip=1.5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</si>
</sst>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0D47A1"/>
        <bgColor rgb="FF0D47A1"/>
      </patternFill>
    </fill>
    <fill>
      <patternFill patternType="solid">
        <fgColor rgb="FFE8F4FD"/>
        <bgColor rgb="FFE8F4FD"/>
      </patternFill>
    </fill>
    <fill>
      <patternFill patternType="solid">
        <fgColor rgb="FFBBDEFB"/>
        <bgColor rgb="FFBBDEFB"/>
      </patternFill>
    </fill>
    <fill>
      <patternFill patternType="solid">
        <fgColor rgb="FFFFFFFF"/>
        <bgColor rgb="FFFFFFFF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C62828"/>
        <bgColor rgb="FFC62828"/>
      </patternFill>
    </fill>
    <fill>
      <patternFill patternType="solid">
        <fgColor rgb="FFFFEBEE"/>
        <bgColor rgb="FFFFEBEE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EDE7F6"/>
        <bgColor rgb="FFEDE7F6"/>
      </patternFill>
    </fill>
    <fill>
      <patternFill patternType="solid">
        <fgColor rgb="FFF5F5F5"/>
        <bgColor rgb="FFF5F5F5"/>
      </patternFill>
    </fill>
    <fill>
      <patternFill patternType="solid">
        <fgColor rgb="FF137333"/>
        <bgColor rgb="FF137333"/>
      </patternFill>
    </fill>
    <fill>
      <patternFill patternType="solid">
        <fgColor rgb="FFE6F4EA"/>
        <bgColor rgb="FFE6F4EA"/>
      </patternFill>
    </fill>
    <fill>
      <patternFill patternType="solid">
        <fgColor rgb="FFB45309"/>
        <bgColor rgb="FFB45309"/>
      </patternFill>
    </fill>
    <fill>
      <patternFill patternType="solid">
        <fgColor rgb="FFFEF9C3"/>
        <bgColor rgb="FFFEF9C3"/>
      </patternFill>
    </fill>
    <fill>
      <patternFill patternType="solid">
        <fgColor rgb="FFFFF9C4"/>
        <bgColor rgb="FFFFF9C4"/>
      </patternFill>
    </fill>
    <fill>
      <patternFill patternType="solid">
        <fgColor rgb="FFFFF3CD"/>
        <bgColor rgb="FFFFF3CD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7" fontId="1" numFmtId="0" xfId="0" applyAlignment="1" applyFill="1" applyFont="1">
      <alignment readingOrder="0" shrinkToFit="0" wrapText="1"/>
    </xf>
    <xf borderId="0" fillId="8" fontId="2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9" fontId="1" numFmtId="0" xfId="0" applyAlignment="1" applyFill="1" applyFont="1">
      <alignment readingOrder="0" shrinkToFit="0" wrapText="1"/>
    </xf>
    <xf borderId="0" fillId="10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0" xfId="0" applyFont="1"/>
    <xf borderId="0" fillId="6" fontId="2" numFmtId="0" xfId="0" applyFont="1"/>
    <xf borderId="0" fillId="11" fontId="1" numFmtId="0" xfId="0" applyAlignment="1" applyFill="1" applyFont="1">
      <alignment readingOrder="0" shrinkToFit="0" wrapText="1"/>
    </xf>
    <xf borderId="0" fillId="0" fontId="2" numFmtId="0" xfId="0" applyFont="1"/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20" fontId="2" numFmtId="0" xfId="0" applyAlignment="1" applyFill="1" applyFont="1">
      <alignment readingOrder="0"/>
    </xf>
    <xf borderId="0" fillId="21" fontId="1" numFmtId="0" xfId="0" applyAlignment="1" applyFill="1" applyFont="1">
      <alignment readingOrder="0" shrinkToFit="0" wrapText="1"/>
    </xf>
    <xf borderId="0" fillId="22" fontId="2" numFmtId="0" xfId="0" applyAlignment="1" applyFill="1" applyFont="1">
      <alignment readingOrder="0"/>
    </xf>
    <xf borderId="0" fillId="22" fontId="2" numFmtId="0" xfId="0" applyAlignment="1" applyFont="1">
      <alignment readingOrder="0"/>
    </xf>
    <xf borderId="0" fillId="22" fontId="2" numFmtId="0" xfId="0" applyFont="1"/>
    <xf borderId="0" fillId="22" fontId="2" numFmtId="0" xfId="0" applyFont="1"/>
    <xf borderId="0" fillId="6" fontId="2" numFmtId="0" xfId="0" applyFont="1"/>
    <xf borderId="0" fillId="23" fontId="1" numFmtId="0" xfId="0" applyAlignment="1" applyFill="1" applyFont="1">
      <alignment readingOrder="0" shrinkToFit="0" wrapText="1"/>
    </xf>
    <xf borderId="0" fillId="24" fontId="2" numFmtId="0" xfId="0" applyAlignment="1" applyFill="1" applyFont="1">
      <alignment readingOrder="0"/>
    </xf>
    <xf borderId="0" fillId="13" fontId="3" numFmtId="0" xfId="0" applyAlignment="1" applyFont="1">
      <alignment readingOrder="0"/>
    </xf>
    <xf borderId="0" fillId="24" fontId="2" numFmtId="0" xfId="0" applyAlignment="1" applyFont="1">
      <alignment readingOrder="0"/>
    </xf>
    <xf borderId="0" fillId="25" fontId="3" numFmtId="0" xfId="0" applyAlignment="1" applyFill="1" applyFont="1">
      <alignment readingOrder="0"/>
    </xf>
    <xf borderId="0" fillId="16" fontId="3" numFmtId="0" xfId="0" applyAlignment="1" applyFont="1">
      <alignment readingOrder="0"/>
    </xf>
    <xf borderId="0" fillId="26" fontId="2" numFmtId="0" xfId="0" applyAlignment="1" applyFill="1" applyFont="1">
      <alignment readingOrder="0"/>
    </xf>
    <xf borderId="0" fillId="26" fontId="3" numFmtId="0" xfId="0" applyAlignment="1" applyFont="1">
      <alignment readingOrder="0"/>
    </xf>
    <xf borderId="0" fillId="2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2.25"/>
    <col customWidth="1" min="3" max="3" width="14.0"/>
    <col customWidth="1" min="4" max="4" width="10.13"/>
    <col customWidth="1" min="5" max="5" width="12.38"/>
    <col customWidth="1" min="6" max="6" width="12.25"/>
    <col customWidth="1" min="7" max="7" width="13.0"/>
    <col customWidth="1" min="8" max="8" width="8.88"/>
    <col customWidth="1" min="9" max="9" width="8.38"/>
    <col customWidth="1" min="10" max="10" width="12.63"/>
    <col customWidth="1" min="11" max="11" width="12.75"/>
    <col customWidth="1" min="12" max="12" width="8.63"/>
    <col customWidth="1" min="13" max="13" width="8.88"/>
    <col customWidth="1" min="14" max="14" width="8.0"/>
    <col customWidth="1" min="15" max="15" width="11.5"/>
    <col customWidth="1" min="16" max="16" width="8.38"/>
    <col customWidth="1" min="17" max="17" width="14.25"/>
    <col customWidth="1" min="18" max="18" width="14.63"/>
    <col customWidth="1" min="19" max="19" width="8.75"/>
    <col customWidth="1" min="20" max="20" width="12.75"/>
    <col customWidth="1" min="21" max="21" width="16.0"/>
    <col customWidth="1" min="22" max="22" width="10.25"/>
    <col customWidth="1" min="23" max="23" width="13.38"/>
    <col customWidth="1" min="24" max="24" width="11.5"/>
    <col customWidth="1" min="25" max="25" width="11.25"/>
    <col customWidth="1" min="26" max="26" width="25.5"/>
    <col customWidth="1" min="27" max="27" width="11.25"/>
    <col customWidth="1" min="28" max="28" width="10.0"/>
    <col customWidth="1" min="29" max="29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3" t="s">
        <v>29</v>
      </c>
      <c r="B2" s="3" t="s">
        <v>30</v>
      </c>
      <c r="C2" s="3" t="s">
        <v>31</v>
      </c>
      <c r="D2" s="4">
        <v>30.0</v>
      </c>
      <c r="E2" s="3">
        <v>2165.0</v>
      </c>
      <c r="F2" s="3">
        <v>300.0</v>
      </c>
      <c r="G2" s="3" t="b">
        <v>1</v>
      </c>
      <c r="H2" s="3">
        <v>60.0</v>
      </c>
      <c r="I2" s="3" t="b">
        <v>1</v>
      </c>
      <c r="J2" s="3" t="s">
        <v>32</v>
      </c>
      <c r="K2" s="3" t="s">
        <v>33</v>
      </c>
      <c r="L2" s="3" t="b">
        <v>1</v>
      </c>
      <c r="M2" s="3" t="b">
        <v>0</v>
      </c>
      <c r="N2" s="3" t="b">
        <v>0</v>
      </c>
      <c r="O2" s="3" t="b">
        <v>1</v>
      </c>
      <c r="P2" s="3" t="s">
        <v>34</v>
      </c>
      <c r="Q2" s="5" t="s">
        <v>35</v>
      </c>
      <c r="R2" s="3" t="b">
        <v>0</v>
      </c>
      <c r="S2" s="3">
        <v>1.0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  <c r="Z2" s="3" t="s">
        <v>42</v>
      </c>
      <c r="AA2" s="3" t="s">
        <v>43</v>
      </c>
      <c r="AB2" s="3" t="b">
        <v>1</v>
      </c>
      <c r="AC2" s="3" t="s">
        <v>44</v>
      </c>
    </row>
    <row r="3">
      <c r="A3" s="6" t="s">
        <v>45</v>
      </c>
      <c r="B3" s="6" t="s">
        <v>46</v>
      </c>
      <c r="C3" s="6" t="s">
        <v>47</v>
      </c>
      <c r="D3" s="7">
        <v>20.0</v>
      </c>
      <c r="E3" s="6">
        <v>1443.0</v>
      </c>
      <c r="F3" s="6">
        <v>200.0</v>
      </c>
      <c r="G3" s="6" t="b">
        <v>1</v>
      </c>
      <c r="H3" s="6">
        <v>60.0</v>
      </c>
      <c r="I3" s="6" t="b">
        <v>1</v>
      </c>
      <c r="J3" s="6" t="s">
        <v>32</v>
      </c>
      <c r="K3" s="6" t="s">
        <v>33</v>
      </c>
      <c r="L3" s="6" t="b">
        <v>1</v>
      </c>
      <c r="M3" s="6" t="b">
        <v>0</v>
      </c>
      <c r="N3" s="6" t="b">
        <v>0</v>
      </c>
      <c r="O3" s="6" t="b">
        <v>1</v>
      </c>
      <c r="P3" s="6" t="s">
        <v>34</v>
      </c>
      <c r="Q3" s="5" t="s">
        <v>35</v>
      </c>
      <c r="R3" s="6" t="b">
        <v>0</v>
      </c>
      <c r="S3" s="6">
        <v>1.0</v>
      </c>
      <c r="T3" s="6" t="s">
        <v>36</v>
      </c>
      <c r="U3" s="6" t="s">
        <v>37</v>
      </c>
      <c r="V3" s="6" t="s">
        <v>38</v>
      </c>
      <c r="W3" s="6" t="s">
        <v>48</v>
      </c>
      <c r="X3" s="6" t="s">
        <v>40</v>
      </c>
      <c r="Y3" s="6" t="s">
        <v>41</v>
      </c>
      <c r="Z3" s="6" t="s">
        <v>49</v>
      </c>
      <c r="AA3" s="6" t="s">
        <v>43</v>
      </c>
      <c r="AB3" s="6" t="b">
        <v>1</v>
      </c>
      <c r="AC3" s="6" t="s">
        <v>50</v>
      </c>
    </row>
    <row r="4">
      <c r="A4" s="3" t="s">
        <v>51</v>
      </c>
      <c r="B4" s="3" t="s">
        <v>52</v>
      </c>
      <c r="C4" s="3" t="s">
        <v>53</v>
      </c>
      <c r="D4" s="4">
        <v>25.0</v>
      </c>
      <c r="E4" s="3">
        <v>1804.0</v>
      </c>
      <c r="F4" s="3">
        <v>150.0</v>
      </c>
      <c r="G4" s="3" t="b">
        <v>0</v>
      </c>
      <c r="H4" s="3">
        <v>60.0</v>
      </c>
      <c r="I4" s="3" t="b">
        <v>1</v>
      </c>
      <c r="J4" s="3">
        <v>20.0</v>
      </c>
      <c r="K4" s="3" t="s">
        <v>54</v>
      </c>
      <c r="L4" s="3" t="b">
        <v>0</v>
      </c>
      <c r="M4" s="3" t="b">
        <v>0</v>
      </c>
      <c r="N4" s="3" t="b">
        <v>0</v>
      </c>
      <c r="O4" s="3" t="b">
        <v>0</v>
      </c>
      <c r="P4" s="3" t="s">
        <v>32</v>
      </c>
      <c r="Q4" s="5" t="s">
        <v>55</v>
      </c>
      <c r="R4" s="5" t="s">
        <v>56</v>
      </c>
      <c r="S4" s="3">
        <v>1.5</v>
      </c>
      <c r="T4" s="3" t="s">
        <v>57</v>
      </c>
      <c r="U4" s="3" t="s">
        <v>58</v>
      </c>
      <c r="V4" s="3" t="s">
        <v>59</v>
      </c>
      <c r="W4" s="3" t="s">
        <v>48</v>
      </c>
      <c r="X4" s="3" t="s">
        <v>60</v>
      </c>
      <c r="Y4" s="3" t="s">
        <v>61</v>
      </c>
      <c r="Z4" s="3" t="s">
        <v>62</v>
      </c>
      <c r="AA4" s="3" t="s">
        <v>63</v>
      </c>
      <c r="AB4" s="3" t="b">
        <v>0</v>
      </c>
      <c r="AC4" s="3" t="s">
        <v>64</v>
      </c>
    </row>
    <row r="5">
      <c r="A5" s="6" t="s">
        <v>65</v>
      </c>
      <c r="B5" s="6" t="s">
        <v>66</v>
      </c>
      <c r="C5" s="6" t="s">
        <v>67</v>
      </c>
      <c r="D5" s="7">
        <v>8.0</v>
      </c>
      <c r="E5" s="6">
        <v>577.0</v>
      </c>
      <c r="F5" s="6">
        <v>200.0</v>
      </c>
      <c r="G5" s="6" t="b">
        <v>0</v>
      </c>
      <c r="H5" s="6" t="s">
        <v>32</v>
      </c>
      <c r="I5" s="6" t="b">
        <v>0</v>
      </c>
      <c r="J5" s="6" t="s">
        <v>32</v>
      </c>
      <c r="K5" s="6" t="s">
        <v>68</v>
      </c>
      <c r="L5" s="6" t="b">
        <v>0</v>
      </c>
      <c r="M5" s="6" t="b">
        <v>0</v>
      </c>
      <c r="N5" s="6" t="b">
        <v>1</v>
      </c>
      <c r="O5" s="6" t="b">
        <v>1</v>
      </c>
      <c r="P5" s="6" t="s">
        <v>69</v>
      </c>
      <c r="Q5" s="6" t="b">
        <v>0</v>
      </c>
      <c r="R5" s="6" t="b">
        <v>0</v>
      </c>
      <c r="S5" s="6">
        <v>1.5</v>
      </c>
      <c r="T5" s="6" t="s">
        <v>57</v>
      </c>
      <c r="U5" s="6" t="s">
        <v>70</v>
      </c>
      <c r="V5" s="6" t="s">
        <v>71</v>
      </c>
      <c r="W5" s="6" t="s">
        <v>72</v>
      </c>
      <c r="X5" s="6" t="s">
        <v>73</v>
      </c>
      <c r="Y5" s="6" t="s">
        <v>74</v>
      </c>
      <c r="Z5" s="6" t="s">
        <v>75</v>
      </c>
      <c r="AA5" s="6" t="s">
        <v>32</v>
      </c>
      <c r="AB5" s="6" t="b">
        <v>0</v>
      </c>
      <c r="AC5" s="6" t="s">
        <v>76</v>
      </c>
    </row>
    <row r="6">
      <c r="A6" s="3" t="s">
        <v>77</v>
      </c>
      <c r="B6" s="3" t="s">
        <v>78</v>
      </c>
      <c r="C6" s="3" t="s">
        <v>79</v>
      </c>
      <c r="D6" s="4">
        <v>5.0</v>
      </c>
      <c r="E6" s="3">
        <v>361.0</v>
      </c>
      <c r="F6" s="3">
        <v>500.0</v>
      </c>
      <c r="G6" s="3" t="b">
        <v>0</v>
      </c>
      <c r="H6" s="3" t="s">
        <v>32</v>
      </c>
      <c r="I6" s="3" t="b">
        <v>0</v>
      </c>
      <c r="J6" s="3" t="s">
        <v>32</v>
      </c>
      <c r="K6" s="3" t="s">
        <v>68</v>
      </c>
      <c r="L6" s="3" t="b">
        <v>0</v>
      </c>
      <c r="M6" s="3" t="b">
        <v>1</v>
      </c>
      <c r="N6" s="3" t="b">
        <v>0</v>
      </c>
      <c r="O6" s="3" t="b">
        <v>1</v>
      </c>
      <c r="P6" s="3" t="s">
        <v>34</v>
      </c>
      <c r="Q6" s="3" t="b">
        <v>0</v>
      </c>
      <c r="R6" s="3" t="b">
        <v>0</v>
      </c>
      <c r="S6" s="3">
        <v>1.5</v>
      </c>
      <c r="T6" s="3" t="s">
        <v>36</v>
      </c>
      <c r="U6" s="3" t="s">
        <v>80</v>
      </c>
      <c r="V6" s="3" t="s">
        <v>38</v>
      </c>
      <c r="W6" s="3" t="s">
        <v>39</v>
      </c>
      <c r="X6" s="3" t="s">
        <v>81</v>
      </c>
      <c r="Y6" s="3" t="s">
        <v>82</v>
      </c>
      <c r="Z6" s="3" t="s">
        <v>83</v>
      </c>
      <c r="AA6" s="3" t="s">
        <v>32</v>
      </c>
      <c r="AB6" s="3" t="b">
        <v>0</v>
      </c>
      <c r="AC6" s="3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6.38"/>
    <col customWidth="1" min="3" max="3" width="20.75"/>
    <col customWidth="1" min="4" max="4" width="12.63"/>
    <col customWidth="1" min="5" max="5" width="8.75"/>
    <col customWidth="1" min="6" max="6" width="27.0"/>
    <col customWidth="1" min="7" max="7" width="14.63"/>
    <col customWidth="1" min="8" max="8" width="12.75"/>
    <col customWidth="1" min="9" max="9" width="10.25"/>
    <col customWidth="1" min="10" max="10" width="11.5"/>
    <col customWidth="1" min="11" max="11" width="20.13"/>
    <col customWidth="1" min="12" max="12" width="25.25"/>
  </cols>
  <sheetData>
    <row r="1">
      <c r="A1" s="8" t="s">
        <v>85</v>
      </c>
      <c r="B1" s="8" t="s">
        <v>86</v>
      </c>
      <c r="C1" s="8" t="s">
        <v>87</v>
      </c>
      <c r="D1" s="8" t="s">
        <v>88</v>
      </c>
      <c r="E1" s="8" t="s">
        <v>18</v>
      </c>
      <c r="F1" s="8" t="s">
        <v>89</v>
      </c>
      <c r="G1" s="8" t="s">
        <v>90</v>
      </c>
      <c r="H1" s="8" t="s">
        <v>91</v>
      </c>
      <c r="I1" s="8" t="s">
        <v>92</v>
      </c>
      <c r="J1" s="8" t="s">
        <v>93</v>
      </c>
      <c r="K1" s="8" t="s">
        <v>25</v>
      </c>
      <c r="L1" s="8" t="s">
        <v>94</v>
      </c>
    </row>
    <row r="2">
      <c r="A2" s="9" t="s">
        <v>95</v>
      </c>
      <c r="B2" s="9" t="s">
        <v>96</v>
      </c>
      <c r="C2" s="9" t="s">
        <v>97</v>
      </c>
      <c r="D2" s="9" t="s">
        <v>98</v>
      </c>
      <c r="E2" s="10">
        <v>1.5</v>
      </c>
      <c r="F2" s="9" t="s">
        <v>99</v>
      </c>
      <c r="G2" s="9" t="s">
        <v>100</v>
      </c>
      <c r="H2" s="9" t="s">
        <v>101</v>
      </c>
      <c r="I2" s="9" t="b">
        <v>1</v>
      </c>
      <c r="J2" s="9" t="b">
        <v>1</v>
      </c>
      <c r="K2" s="9" t="s">
        <v>102</v>
      </c>
      <c r="L2" s="9" t="s">
        <v>103</v>
      </c>
    </row>
    <row r="3">
      <c r="A3" s="6" t="s">
        <v>104</v>
      </c>
      <c r="B3" s="6" t="s">
        <v>105</v>
      </c>
      <c r="C3" s="6" t="s">
        <v>106</v>
      </c>
      <c r="D3" s="6" t="s">
        <v>98</v>
      </c>
      <c r="E3" s="7">
        <v>1.5</v>
      </c>
      <c r="F3" s="6" t="s">
        <v>107</v>
      </c>
      <c r="G3" s="6" t="s">
        <v>100</v>
      </c>
      <c r="H3" s="6" t="s">
        <v>108</v>
      </c>
      <c r="I3" s="6" t="b">
        <v>1</v>
      </c>
      <c r="J3" s="6" t="b">
        <v>1</v>
      </c>
      <c r="K3" s="6" t="s">
        <v>102</v>
      </c>
      <c r="L3" s="6" t="s">
        <v>109</v>
      </c>
    </row>
    <row r="4">
      <c r="A4" s="9" t="s">
        <v>110</v>
      </c>
      <c r="B4" s="9" t="s">
        <v>111</v>
      </c>
      <c r="C4" s="9" t="s">
        <v>112</v>
      </c>
      <c r="D4" s="9" t="s">
        <v>113</v>
      </c>
      <c r="E4" s="10">
        <v>1.5</v>
      </c>
      <c r="F4" s="9" t="s">
        <v>114</v>
      </c>
      <c r="G4" s="9" t="s">
        <v>115</v>
      </c>
      <c r="H4" s="9" t="s">
        <v>116</v>
      </c>
      <c r="I4" s="9" t="b">
        <v>0</v>
      </c>
      <c r="J4" s="9" t="b">
        <v>0</v>
      </c>
      <c r="K4" s="9" t="s">
        <v>117</v>
      </c>
      <c r="L4" s="9" t="s">
        <v>118</v>
      </c>
    </row>
    <row r="5">
      <c r="A5" s="6" t="s">
        <v>119</v>
      </c>
      <c r="B5" s="6" t="s">
        <v>120</v>
      </c>
      <c r="C5" s="6" t="s">
        <v>121</v>
      </c>
      <c r="D5" s="6" t="s">
        <v>122</v>
      </c>
      <c r="E5" s="7">
        <v>1.5</v>
      </c>
      <c r="F5" s="6" t="s">
        <v>123</v>
      </c>
      <c r="G5" s="6" t="s">
        <v>115</v>
      </c>
      <c r="H5" s="6" t="s">
        <v>124</v>
      </c>
      <c r="I5" s="6" t="b">
        <v>0</v>
      </c>
      <c r="J5" s="6" t="b">
        <v>0</v>
      </c>
      <c r="K5" s="6" t="s">
        <v>117</v>
      </c>
      <c r="L5" s="6" t="s">
        <v>125</v>
      </c>
    </row>
    <row r="6">
      <c r="A6" s="9" t="s">
        <v>126</v>
      </c>
      <c r="B6" s="9" t="s">
        <v>127</v>
      </c>
      <c r="C6" s="9" t="s">
        <v>128</v>
      </c>
      <c r="D6" s="9" t="s">
        <v>129</v>
      </c>
      <c r="E6" s="10">
        <v>1.5</v>
      </c>
      <c r="F6" s="9" t="s">
        <v>130</v>
      </c>
      <c r="G6" s="9" t="s">
        <v>131</v>
      </c>
      <c r="H6" s="9" t="s">
        <v>132</v>
      </c>
      <c r="I6" s="9" t="b">
        <v>1</v>
      </c>
      <c r="J6" s="9" t="b">
        <v>0</v>
      </c>
      <c r="K6" s="9" t="s">
        <v>133</v>
      </c>
      <c r="L6" s="9" t="s">
        <v>134</v>
      </c>
    </row>
    <row r="7">
      <c r="A7" s="6" t="s">
        <v>135</v>
      </c>
      <c r="B7" s="6" t="s">
        <v>136</v>
      </c>
      <c r="C7" s="6" t="s">
        <v>137</v>
      </c>
      <c r="D7" s="6" t="s">
        <v>138</v>
      </c>
      <c r="E7" s="7">
        <v>1.5</v>
      </c>
      <c r="F7" s="6" t="s">
        <v>139</v>
      </c>
      <c r="G7" s="6" t="s">
        <v>140</v>
      </c>
      <c r="H7" s="6" t="s">
        <v>141</v>
      </c>
      <c r="I7" s="6" t="b">
        <v>1</v>
      </c>
      <c r="J7" s="6" t="b">
        <v>0</v>
      </c>
      <c r="K7" s="6" t="s">
        <v>142</v>
      </c>
      <c r="L7" s="6" t="s">
        <v>143</v>
      </c>
    </row>
    <row r="8">
      <c r="A8" s="9" t="s">
        <v>144</v>
      </c>
      <c r="B8" s="9" t="s">
        <v>145</v>
      </c>
      <c r="C8" s="9" t="s">
        <v>146</v>
      </c>
      <c r="D8" s="9" t="s">
        <v>147</v>
      </c>
      <c r="E8" s="10">
        <v>1.0</v>
      </c>
      <c r="F8" s="9" t="s">
        <v>148</v>
      </c>
      <c r="G8" s="9" t="s">
        <v>149</v>
      </c>
      <c r="H8" s="9" t="s">
        <v>116</v>
      </c>
      <c r="I8" s="9" t="b">
        <v>0</v>
      </c>
      <c r="J8" s="9" t="b">
        <v>0</v>
      </c>
      <c r="K8" s="9" t="s">
        <v>150</v>
      </c>
      <c r="L8" s="9" t="s">
        <v>151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9.38"/>
    <col customWidth="1" min="3" max="3" width="14.88"/>
    <col customWidth="1" min="4" max="4" width="7.5"/>
    <col customWidth="1" min="5" max="5" width="3.25"/>
    <col customWidth="1" min="6" max="7" width="5.38"/>
    <col customWidth="1" min="8" max="8" width="8.0"/>
    <col customWidth="1" min="9" max="9" width="9.25"/>
    <col customWidth="1" min="10" max="10" width="13.75"/>
    <col customWidth="1" min="11" max="11" width="4.88"/>
    <col customWidth="1" min="12" max="12" width="9.38"/>
    <col customWidth="1" min="13" max="13" width="12.0"/>
    <col customWidth="1" min="14" max="14" width="9.25"/>
    <col customWidth="1" min="15" max="15" width="8.75"/>
    <col customWidth="1" min="16" max="16" width="6.25"/>
    <col customWidth="1" min="17" max="17" width="25.5"/>
    <col customWidth="1" min="18" max="18" width="19.0"/>
    <col customWidth="1" min="19" max="19" width="32.25"/>
  </cols>
  <sheetData>
    <row r="1">
      <c r="A1" s="11" t="s">
        <v>152</v>
      </c>
      <c r="B1" s="11" t="s">
        <v>153</v>
      </c>
      <c r="C1" s="11" t="s">
        <v>154</v>
      </c>
      <c r="D1" s="11" t="s">
        <v>155</v>
      </c>
      <c r="E1" s="11" t="s">
        <v>156</v>
      </c>
      <c r="F1" s="11" t="s">
        <v>157</v>
      </c>
      <c r="G1" s="11" t="s">
        <v>158</v>
      </c>
      <c r="H1" s="11" t="s">
        <v>159</v>
      </c>
      <c r="I1" s="11" t="s">
        <v>160</v>
      </c>
      <c r="J1" s="11" t="s">
        <v>161</v>
      </c>
      <c r="K1" s="11" t="s">
        <v>162</v>
      </c>
      <c r="L1" s="11" t="s">
        <v>163</v>
      </c>
      <c r="M1" s="11" t="s">
        <v>164</v>
      </c>
      <c r="N1" s="11" t="s">
        <v>165</v>
      </c>
      <c r="O1" s="11" t="s">
        <v>18</v>
      </c>
      <c r="P1" s="11" t="s">
        <v>166</v>
      </c>
      <c r="Q1" s="11" t="s">
        <v>167</v>
      </c>
      <c r="R1" s="11" t="s">
        <v>168</v>
      </c>
      <c r="S1" s="11" t="s">
        <v>28</v>
      </c>
    </row>
    <row r="2">
      <c r="A2" s="12" t="s">
        <v>169</v>
      </c>
      <c r="B2" s="12" t="s">
        <v>170</v>
      </c>
      <c r="C2" s="12" t="s">
        <v>171</v>
      </c>
      <c r="D2" s="12" t="s">
        <v>66</v>
      </c>
      <c r="E2" s="13">
        <v>5.5</v>
      </c>
      <c r="F2" s="13">
        <v>380.0</v>
      </c>
      <c r="G2" s="13">
        <v>3.0</v>
      </c>
      <c r="H2" s="14">
        <f t="shared" ref="H2:H7" si="1">ROUND(E2*1000/(F2*IF(G2=3,SQRT(3),1)*0.85),1)</f>
        <v>9.8</v>
      </c>
      <c r="I2" s="12" t="s">
        <v>172</v>
      </c>
      <c r="J2" s="12" t="s">
        <v>173</v>
      </c>
      <c r="K2" s="12" t="s">
        <v>174</v>
      </c>
      <c r="L2" s="12">
        <v>2.5</v>
      </c>
      <c r="M2" s="12" t="s">
        <v>175</v>
      </c>
      <c r="N2" s="12" t="s">
        <v>176</v>
      </c>
      <c r="O2" s="13">
        <v>1.5</v>
      </c>
      <c r="P2" s="12" t="b">
        <v>1</v>
      </c>
      <c r="Q2" s="12" t="s">
        <v>177</v>
      </c>
      <c r="R2" s="12" t="s">
        <v>178</v>
      </c>
      <c r="S2" s="12" t="s">
        <v>179</v>
      </c>
    </row>
    <row r="3">
      <c r="A3" s="6" t="s">
        <v>180</v>
      </c>
      <c r="B3" s="6" t="s">
        <v>181</v>
      </c>
      <c r="C3" s="6" t="s">
        <v>182</v>
      </c>
      <c r="D3" s="6" t="s">
        <v>183</v>
      </c>
      <c r="E3" s="7">
        <v>11.0</v>
      </c>
      <c r="F3" s="7">
        <v>380.0</v>
      </c>
      <c r="G3" s="7">
        <v>3.0</v>
      </c>
      <c r="H3" s="15">
        <f t="shared" si="1"/>
        <v>19.7</v>
      </c>
      <c r="I3" s="6" t="s">
        <v>184</v>
      </c>
      <c r="J3" s="6" t="s">
        <v>185</v>
      </c>
      <c r="K3" s="6" t="s">
        <v>174</v>
      </c>
      <c r="L3" s="6">
        <v>6.0</v>
      </c>
      <c r="M3" s="6" t="s">
        <v>186</v>
      </c>
      <c r="N3" s="6" t="s">
        <v>187</v>
      </c>
      <c r="O3" s="7">
        <v>1.5</v>
      </c>
      <c r="P3" s="6" t="b">
        <v>1</v>
      </c>
      <c r="Q3" s="6" t="s">
        <v>188</v>
      </c>
      <c r="R3" s="6" t="s">
        <v>189</v>
      </c>
      <c r="S3" s="6" t="s">
        <v>190</v>
      </c>
    </row>
    <row r="4">
      <c r="A4" s="12" t="s">
        <v>191</v>
      </c>
      <c r="B4" s="12" t="s">
        <v>192</v>
      </c>
      <c r="C4" s="12" t="s">
        <v>193</v>
      </c>
      <c r="D4" s="12" t="s">
        <v>183</v>
      </c>
      <c r="E4" s="13">
        <v>15.0</v>
      </c>
      <c r="F4" s="13">
        <v>380.0</v>
      </c>
      <c r="G4" s="13">
        <v>3.0</v>
      </c>
      <c r="H4" s="14">
        <f t="shared" si="1"/>
        <v>26.8</v>
      </c>
      <c r="I4" s="12" t="s">
        <v>194</v>
      </c>
      <c r="J4" s="12" t="s">
        <v>195</v>
      </c>
      <c r="K4" s="12" t="s">
        <v>174</v>
      </c>
      <c r="L4" s="12">
        <v>6.0</v>
      </c>
      <c r="M4" s="12" t="s">
        <v>196</v>
      </c>
      <c r="N4" s="12" t="s">
        <v>197</v>
      </c>
      <c r="O4" s="13">
        <v>1.0</v>
      </c>
      <c r="P4" s="12" t="b">
        <v>0</v>
      </c>
      <c r="Q4" s="12" t="s">
        <v>198</v>
      </c>
      <c r="R4" s="12" t="s">
        <v>199</v>
      </c>
      <c r="S4" s="12" t="s">
        <v>200</v>
      </c>
    </row>
    <row r="5">
      <c r="A5" s="6" t="s">
        <v>201</v>
      </c>
      <c r="B5" s="6" t="s">
        <v>202</v>
      </c>
      <c r="C5" s="6" t="s">
        <v>203</v>
      </c>
      <c r="D5" s="6" t="s">
        <v>204</v>
      </c>
      <c r="E5" s="7">
        <v>3.7</v>
      </c>
      <c r="F5" s="7">
        <v>220.0</v>
      </c>
      <c r="G5" s="7">
        <v>1.0</v>
      </c>
      <c r="H5" s="15">
        <f t="shared" si="1"/>
        <v>19.8</v>
      </c>
      <c r="I5" s="6" t="s">
        <v>205</v>
      </c>
      <c r="J5" s="6" t="s">
        <v>206</v>
      </c>
      <c r="K5" s="6" t="s">
        <v>174</v>
      </c>
      <c r="L5" s="6">
        <v>2.5</v>
      </c>
      <c r="M5" s="6" t="s">
        <v>207</v>
      </c>
      <c r="N5" s="6" t="s">
        <v>208</v>
      </c>
      <c r="O5" s="7">
        <v>1.5</v>
      </c>
      <c r="P5" s="6" t="b">
        <v>1</v>
      </c>
      <c r="Q5" s="6" t="s">
        <v>209</v>
      </c>
      <c r="R5" s="6" t="s">
        <v>210</v>
      </c>
      <c r="S5" s="6" t="s">
        <v>211</v>
      </c>
    </row>
    <row r="6">
      <c r="A6" s="12" t="s">
        <v>212</v>
      </c>
      <c r="B6" s="12" t="s">
        <v>213</v>
      </c>
      <c r="C6" s="12" t="s">
        <v>214</v>
      </c>
      <c r="D6" s="12" t="s">
        <v>66</v>
      </c>
      <c r="E6" s="13">
        <v>22.0</v>
      </c>
      <c r="F6" s="13">
        <v>380.0</v>
      </c>
      <c r="G6" s="13">
        <v>3.0</v>
      </c>
      <c r="H6" s="14">
        <f t="shared" si="1"/>
        <v>39.3</v>
      </c>
      <c r="I6" s="12" t="s">
        <v>215</v>
      </c>
      <c r="J6" s="12" t="s">
        <v>216</v>
      </c>
      <c r="K6" s="12" t="s">
        <v>174</v>
      </c>
      <c r="L6" s="12">
        <v>10.0</v>
      </c>
      <c r="M6" s="12" t="s">
        <v>217</v>
      </c>
      <c r="N6" s="12" t="s">
        <v>218</v>
      </c>
      <c r="O6" s="13">
        <v>1.5</v>
      </c>
      <c r="P6" s="12" t="b">
        <v>1</v>
      </c>
      <c r="Q6" s="12" t="s">
        <v>219</v>
      </c>
      <c r="R6" s="12" t="s">
        <v>220</v>
      </c>
      <c r="S6" s="12" t="s">
        <v>221</v>
      </c>
    </row>
    <row r="7">
      <c r="A7" s="6" t="s">
        <v>222</v>
      </c>
      <c r="B7" s="6" t="s">
        <v>223</v>
      </c>
      <c r="C7" s="6" t="s">
        <v>224</v>
      </c>
      <c r="D7" s="6" t="s">
        <v>30</v>
      </c>
      <c r="E7" s="7">
        <v>1.5</v>
      </c>
      <c r="F7" s="7">
        <v>220.0</v>
      </c>
      <c r="G7" s="7">
        <v>1.0</v>
      </c>
      <c r="H7" s="15">
        <f t="shared" si="1"/>
        <v>8</v>
      </c>
      <c r="I7" s="6" t="s">
        <v>225</v>
      </c>
      <c r="J7" s="6" t="s">
        <v>226</v>
      </c>
      <c r="K7" s="6" t="s">
        <v>227</v>
      </c>
      <c r="L7" s="6">
        <v>2.5</v>
      </c>
      <c r="M7" s="6" t="s">
        <v>228</v>
      </c>
      <c r="N7" s="6" t="s">
        <v>229</v>
      </c>
      <c r="O7" s="7">
        <v>1.0</v>
      </c>
      <c r="P7" s="6" t="b">
        <v>0</v>
      </c>
      <c r="Q7" s="6" t="s">
        <v>230</v>
      </c>
      <c r="R7" s="6" t="s">
        <v>231</v>
      </c>
      <c r="S7" s="6" t="s">
        <v>232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1.25"/>
    <col customWidth="1" min="3" max="3" width="13.75"/>
    <col customWidth="1" min="4" max="4" width="7.63"/>
    <col customWidth="1" min="5" max="5" width="7.38"/>
    <col customWidth="1" min="6" max="6" width="20.75"/>
    <col customWidth="1" min="7" max="7" width="12.25"/>
    <col customWidth="1" min="8" max="8" width="40.63"/>
    <col customWidth="1" min="9" max="9" width="10.38"/>
    <col customWidth="1" min="10" max="10" width="21.88"/>
    <col customWidth="1" min="11" max="11" width="35.25"/>
  </cols>
  <sheetData>
    <row r="1">
      <c r="A1" s="16" t="s">
        <v>233</v>
      </c>
      <c r="B1" s="16" t="s">
        <v>234</v>
      </c>
      <c r="C1" s="16" t="s">
        <v>235</v>
      </c>
      <c r="D1" s="16" t="s">
        <v>236</v>
      </c>
      <c r="E1" s="16" t="s">
        <v>237</v>
      </c>
      <c r="F1" s="16" t="s">
        <v>238</v>
      </c>
      <c r="G1" s="16" t="s">
        <v>239</v>
      </c>
      <c r="H1" s="16" t="s">
        <v>240</v>
      </c>
      <c r="I1" s="16" t="s">
        <v>241</v>
      </c>
      <c r="J1" s="16" t="s">
        <v>28</v>
      </c>
      <c r="K1" s="17"/>
    </row>
    <row r="2">
      <c r="A2" s="18" t="s">
        <v>242</v>
      </c>
      <c r="B2" s="18" t="s">
        <v>243</v>
      </c>
      <c r="C2" s="18" t="s">
        <v>244</v>
      </c>
      <c r="D2" s="19" t="s">
        <v>245</v>
      </c>
      <c r="E2" s="18" t="s">
        <v>246</v>
      </c>
      <c r="F2" s="18" t="s">
        <v>32</v>
      </c>
      <c r="G2" s="18" t="s">
        <v>247</v>
      </c>
      <c r="H2" s="18" t="s">
        <v>248</v>
      </c>
      <c r="I2" s="20" t="b">
        <v>0</v>
      </c>
      <c r="J2" s="18" t="s">
        <v>249</v>
      </c>
      <c r="K2" s="17"/>
    </row>
    <row r="3">
      <c r="A3" s="6" t="s">
        <v>250</v>
      </c>
      <c r="B3" s="6" t="s">
        <v>251</v>
      </c>
      <c r="C3" s="6" t="s">
        <v>252</v>
      </c>
      <c r="D3" s="19" t="s">
        <v>245</v>
      </c>
      <c r="E3" s="6" t="s">
        <v>246</v>
      </c>
      <c r="F3" s="6" t="s">
        <v>32</v>
      </c>
      <c r="G3" s="6" t="s">
        <v>253</v>
      </c>
      <c r="H3" s="6" t="s">
        <v>254</v>
      </c>
      <c r="I3" s="21" t="b">
        <v>1</v>
      </c>
      <c r="J3" s="6" t="s">
        <v>255</v>
      </c>
      <c r="K3" s="17"/>
    </row>
    <row r="4">
      <c r="A4" s="18" t="s">
        <v>256</v>
      </c>
      <c r="B4" s="18" t="s">
        <v>257</v>
      </c>
      <c r="C4" s="18" t="s">
        <v>258</v>
      </c>
      <c r="D4" s="19" t="s">
        <v>245</v>
      </c>
      <c r="E4" s="18" t="s">
        <v>246</v>
      </c>
      <c r="F4" s="18" t="s">
        <v>32</v>
      </c>
      <c r="G4" s="18" t="s">
        <v>259</v>
      </c>
      <c r="H4" s="18" t="s">
        <v>260</v>
      </c>
      <c r="I4" s="21" t="b">
        <v>1</v>
      </c>
      <c r="J4" s="18" t="s">
        <v>261</v>
      </c>
      <c r="K4" s="17"/>
    </row>
    <row r="5">
      <c r="A5" s="6" t="s">
        <v>262</v>
      </c>
      <c r="B5" s="6" t="s">
        <v>263</v>
      </c>
      <c r="C5" s="6" t="s">
        <v>264</v>
      </c>
      <c r="D5" s="19" t="s">
        <v>245</v>
      </c>
      <c r="E5" s="6" t="s">
        <v>246</v>
      </c>
      <c r="F5" s="6" t="s">
        <v>32</v>
      </c>
      <c r="G5" s="6" t="s">
        <v>265</v>
      </c>
      <c r="H5" s="6" t="s">
        <v>266</v>
      </c>
      <c r="I5" s="21" t="b">
        <v>1</v>
      </c>
      <c r="J5" s="6" t="s">
        <v>267</v>
      </c>
      <c r="K5" s="17"/>
    </row>
    <row r="6">
      <c r="A6" s="18" t="s">
        <v>268</v>
      </c>
      <c r="B6" s="18" t="s">
        <v>269</v>
      </c>
      <c r="C6" s="18" t="s">
        <v>270</v>
      </c>
      <c r="D6" s="19" t="s">
        <v>245</v>
      </c>
      <c r="E6" s="18" t="s">
        <v>246</v>
      </c>
      <c r="F6" s="18" t="s">
        <v>32</v>
      </c>
      <c r="G6" s="18" t="s">
        <v>271</v>
      </c>
      <c r="H6" s="18" t="s">
        <v>272</v>
      </c>
      <c r="I6" s="21" t="b">
        <v>1</v>
      </c>
      <c r="J6" s="18" t="s">
        <v>273</v>
      </c>
      <c r="K6" s="17"/>
    </row>
    <row r="7">
      <c r="A7" s="6" t="s">
        <v>274</v>
      </c>
      <c r="B7" s="6" t="s">
        <v>275</v>
      </c>
      <c r="C7" s="6" t="s">
        <v>276</v>
      </c>
      <c r="D7" s="19" t="s">
        <v>245</v>
      </c>
      <c r="E7" s="6" t="s">
        <v>246</v>
      </c>
      <c r="F7" s="6" t="s">
        <v>32</v>
      </c>
      <c r="G7" s="6" t="s">
        <v>277</v>
      </c>
      <c r="H7" s="6" t="s">
        <v>278</v>
      </c>
      <c r="I7" s="21" t="b">
        <v>1</v>
      </c>
      <c r="J7" s="6" t="s">
        <v>279</v>
      </c>
      <c r="K7" s="17"/>
    </row>
    <row r="8">
      <c r="A8" s="18" t="s">
        <v>280</v>
      </c>
      <c r="B8" s="18" t="s">
        <v>281</v>
      </c>
      <c r="C8" s="18" t="s">
        <v>282</v>
      </c>
      <c r="D8" s="19" t="s">
        <v>245</v>
      </c>
      <c r="E8" s="18" t="s">
        <v>246</v>
      </c>
      <c r="F8" s="18" t="s">
        <v>32</v>
      </c>
      <c r="G8" s="18" t="s">
        <v>283</v>
      </c>
      <c r="H8" s="18" t="s">
        <v>284</v>
      </c>
      <c r="I8" s="21" t="b">
        <v>1</v>
      </c>
      <c r="J8" s="18" t="s">
        <v>285</v>
      </c>
      <c r="K8" s="17"/>
    </row>
    <row r="9">
      <c r="A9" s="6" t="s">
        <v>286</v>
      </c>
      <c r="B9" s="6" t="s">
        <v>287</v>
      </c>
      <c r="C9" s="6" t="s">
        <v>288</v>
      </c>
      <c r="D9" s="19" t="s">
        <v>245</v>
      </c>
      <c r="E9" s="6" t="s">
        <v>246</v>
      </c>
      <c r="F9" s="6" t="s">
        <v>32</v>
      </c>
      <c r="G9" s="6" t="s">
        <v>183</v>
      </c>
      <c r="H9" s="6" t="s">
        <v>289</v>
      </c>
      <c r="I9" s="21" t="b">
        <v>1</v>
      </c>
      <c r="J9" s="6" t="s">
        <v>290</v>
      </c>
      <c r="K9" s="17"/>
    </row>
    <row r="10">
      <c r="A10" s="18" t="s">
        <v>291</v>
      </c>
      <c r="B10" s="18" t="s">
        <v>292</v>
      </c>
      <c r="C10" s="18" t="s">
        <v>293</v>
      </c>
      <c r="D10" s="22" t="s">
        <v>294</v>
      </c>
      <c r="E10" s="18" t="s">
        <v>246</v>
      </c>
      <c r="F10" s="18" t="s">
        <v>32</v>
      </c>
      <c r="G10" s="18" t="s">
        <v>295</v>
      </c>
      <c r="H10" s="18" t="s">
        <v>296</v>
      </c>
      <c r="I10" s="21" t="b">
        <v>1</v>
      </c>
      <c r="J10" s="18" t="s">
        <v>297</v>
      </c>
      <c r="K10" s="17"/>
    </row>
    <row r="11">
      <c r="A11" s="6" t="s">
        <v>298</v>
      </c>
      <c r="B11" s="6" t="s">
        <v>299</v>
      </c>
      <c r="C11" s="6" t="s">
        <v>300</v>
      </c>
      <c r="D11" s="23" t="s">
        <v>301</v>
      </c>
      <c r="E11" s="6" t="s">
        <v>302</v>
      </c>
      <c r="F11" s="6" t="s">
        <v>303</v>
      </c>
      <c r="G11" s="6" t="s">
        <v>253</v>
      </c>
      <c r="H11" s="6" t="s">
        <v>304</v>
      </c>
      <c r="I11" s="21" t="b">
        <v>1</v>
      </c>
      <c r="J11" s="6" t="s">
        <v>305</v>
      </c>
      <c r="K11" s="17"/>
    </row>
    <row r="12">
      <c r="A12" s="18" t="s">
        <v>306</v>
      </c>
      <c r="B12" s="18" t="s">
        <v>307</v>
      </c>
      <c r="C12" s="18" t="s">
        <v>308</v>
      </c>
      <c r="D12" s="24" t="s">
        <v>309</v>
      </c>
      <c r="E12" s="18" t="s">
        <v>310</v>
      </c>
      <c r="F12" s="18" t="s">
        <v>32</v>
      </c>
      <c r="G12" s="18" t="s">
        <v>122</v>
      </c>
      <c r="H12" s="18" t="s">
        <v>311</v>
      </c>
      <c r="I12" s="21" t="b">
        <v>1</v>
      </c>
      <c r="J12" s="18" t="s">
        <v>312</v>
      </c>
      <c r="K12" s="17"/>
    </row>
    <row r="13">
      <c r="A13" s="6" t="s">
        <v>313</v>
      </c>
      <c r="B13" s="6" t="s">
        <v>314</v>
      </c>
      <c r="C13" s="6" t="s">
        <v>315</v>
      </c>
      <c r="D13" s="24" t="s">
        <v>316</v>
      </c>
      <c r="E13" s="6" t="s">
        <v>310</v>
      </c>
      <c r="F13" s="6" t="s">
        <v>32</v>
      </c>
      <c r="G13" s="6" t="s">
        <v>129</v>
      </c>
      <c r="H13" s="6" t="s">
        <v>317</v>
      </c>
      <c r="I13" s="20" t="b">
        <v>0</v>
      </c>
      <c r="J13" s="6" t="s">
        <v>318</v>
      </c>
      <c r="K13" s="17"/>
    </row>
    <row r="14">
      <c r="A14" s="18" t="s">
        <v>319</v>
      </c>
      <c r="B14" s="18" t="s">
        <v>320</v>
      </c>
      <c r="C14" s="18" t="s">
        <v>321</v>
      </c>
      <c r="D14" s="25" t="s">
        <v>322</v>
      </c>
      <c r="E14" s="18" t="s">
        <v>323</v>
      </c>
      <c r="F14" s="18" t="s">
        <v>32</v>
      </c>
      <c r="G14" s="18" t="s">
        <v>324</v>
      </c>
      <c r="H14" s="18" t="s">
        <v>325</v>
      </c>
      <c r="I14" s="20" t="b">
        <v>0</v>
      </c>
      <c r="J14" s="18" t="s">
        <v>326</v>
      </c>
      <c r="K14" s="17"/>
    </row>
    <row r="15">
      <c r="A15" s="6" t="s">
        <v>327</v>
      </c>
      <c r="B15" s="6" t="s">
        <v>328</v>
      </c>
      <c r="C15" s="6" t="s">
        <v>329</v>
      </c>
      <c r="D15" s="9" t="s">
        <v>330</v>
      </c>
      <c r="E15" s="6" t="s">
        <v>331</v>
      </c>
      <c r="F15" s="6" t="s">
        <v>32</v>
      </c>
      <c r="G15" s="6" t="s">
        <v>332</v>
      </c>
      <c r="H15" s="6" t="s">
        <v>333</v>
      </c>
      <c r="I15" s="21" t="b">
        <v>1</v>
      </c>
      <c r="J15" s="6" t="s">
        <v>334</v>
      </c>
      <c r="K15" s="17"/>
    </row>
    <row r="16">
      <c r="A16" s="18" t="s">
        <v>335</v>
      </c>
      <c r="B16" s="18" t="s">
        <v>336</v>
      </c>
      <c r="C16" s="18" t="s">
        <v>337</v>
      </c>
      <c r="D16" s="26" t="s">
        <v>338</v>
      </c>
      <c r="E16" s="18" t="s">
        <v>339</v>
      </c>
      <c r="F16" s="18" t="s">
        <v>340</v>
      </c>
      <c r="G16" s="18" t="s">
        <v>341</v>
      </c>
      <c r="H16" s="18" t="s">
        <v>342</v>
      </c>
      <c r="I16" s="21" t="b">
        <v>1</v>
      </c>
      <c r="J16" s="18" t="s">
        <v>343</v>
      </c>
      <c r="K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2.25"/>
    <col customWidth="1" min="3" max="3" width="10.38"/>
    <col customWidth="1" min="4" max="4" width="7.25"/>
    <col customWidth="1" min="5" max="5" width="29.5"/>
    <col customWidth="1" min="6" max="6" width="7.13"/>
    <col customWidth="1" min="7" max="7" width="10.13"/>
    <col customWidth="1" min="8" max="8" width="12.38"/>
    <col customWidth="1" min="9" max="9" width="10.0"/>
    <col customWidth="1" min="10" max="10" width="9.5"/>
    <col customWidth="1" min="11" max="11" width="11.25"/>
    <col customWidth="1" min="12" max="12" width="8.75"/>
    <col customWidth="1" min="13" max="13" width="8.63"/>
    <col customWidth="1" min="14" max="14" width="9.0"/>
    <col customWidth="1" min="15" max="15" width="9.5"/>
    <col customWidth="1" min="16" max="16" width="10.88"/>
    <col customWidth="1" min="17" max="17" width="3.5"/>
    <col customWidth="1" min="18" max="18" width="6.25"/>
    <col customWidth="1" min="19" max="19" width="6.38"/>
    <col customWidth="1" min="20" max="20" width="9.13"/>
    <col customWidth="1" min="21" max="21" width="10.38"/>
    <col customWidth="1" min="22" max="22" width="34.25"/>
    <col customWidth="1" min="23" max="23" width="24.75"/>
  </cols>
  <sheetData>
    <row r="1">
      <c r="A1" s="27" t="s">
        <v>0</v>
      </c>
      <c r="B1" s="27" t="s">
        <v>1</v>
      </c>
      <c r="C1" s="27" t="s">
        <v>344</v>
      </c>
      <c r="D1" s="27" t="s">
        <v>345</v>
      </c>
      <c r="E1" s="27" t="s">
        <v>346</v>
      </c>
      <c r="F1" s="27" t="s">
        <v>347</v>
      </c>
      <c r="G1" s="27" t="s">
        <v>348</v>
      </c>
      <c r="H1" s="27" t="s">
        <v>349</v>
      </c>
      <c r="I1" s="27" t="s">
        <v>350</v>
      </c>
      <c r="J1" s="27" t="s">
        <v>351</v>
      </c>
      <c r="K1" s="27" t="s">
        <v>352</v>
      </c>
      <c r="L1" s="27" t="s">
        <v>353</v>
      </c>
      <c r="M1" s="27" t="s">
        <v>354</v>
      </c>
      <c r="N1" s="27" t="s">
        <v>355</v>
      </c>
      <c r="O1" s="27" t="s">
        <v>356</v>
      </c>
      <c r="P1" s="27" t="s">
        <v>357</v>
      </c>
      <c r="Q1" s="27" t="s">
        <v>358</v>
      </c>
      <c r="R1" s="27" t="s">
        <v>359</v>
      </c>
      <c r="S1" s="27" t="s">
        <v>360</v>
      </c>
      <c r="T1" s="27" t="s">
        <v>361</v>
      </c>
      <c r="U1" s="27" t="s">
        <v>362</v>
      </c>
      <c r="V1" s="27" t="s">
        <v>363</v>
      </c>
      <c r="W1" s="27" t="s">
        <v>28</v>
      </c>
    </row>
    <row r="2">
      <c r="A2" s="28" t="s">
        <v>29</v>
      </c>
      <c r="B2" s="28" t="s">
        <v>30</v>
      </c>
      <c r="C2" s="29">
        <v>300.0</v>
      </c>
      <c r="D2" s="29">
        <v>2165.0</v>
      </c>
      <c r="E2" s="28" t="s">
        <v>364</v>
      </c>
      <c r="F2" s="29">
        <v>5400.0</v>
      </c>
      <c r="G2" s="29">
        <v>0.6</v>
      </c>
      <c r="H2" s="29">
        <v>0.8</v>
      </c>
      <c r="I2" s="30">
        <f t="shared" ref="I2:I6" si="1">ROUNDUP((C2*D2)/(F2*G2*H2),0)</f>
        <v>251</v>
      </c>
      <c r="J2" s="31"/>
      <c r="K2" s="31" t="str">
        <f t="shared" ref="K2:K6" si="2">ROUND(D2/(J2*4*SQRT(D2)),2)</f>
        <v>#DIV/0!</v>
      </c>
      <c r="L2" s="31">
        <f t="shared" ref="L2:L6" si="3">ROUND(SQRT(D2/I2),1)</f>
        <v>2.9</v>
      </c>
      <c r="M2" s="29">
        <v>70.0</v>
      </c>
      <c r="N2" s="29">
        <v>50.0</v>
      </c>
      <c r="O2" s="29">
        <v>20.0</v>
      </c>
      <c r="P2" s="29">
        <v>4000.0</v>
      </c>
      <c r="Q2" s="29">
        <v>80.0</v>
      </c>
      <c r="R2" s="29">
        <v>40.0</v>
      </c>
      <c r="S2" s="31">
        <f t="shared" ref="S2:S6" si="4">I2*R2</f>
        <v>10040</v>
      </c>
      <c r="T2" s="31">
        <f t="shared" ref="T2:T6" si="5">ROUND(S2/D2,1)</f>
        <v>4.6</v>
      </c>
      <c r="U2" s="30">
        <f t="shared" ref="U2:U6" si="6">ROUNDUP(S2/(220*20*0.8),0)</f>
        <v>3</v>
      </c>
      <c r="V2" s="28" t="s">
        <v>365</v>
      </c>
      <c r="W2" s="28" t="s">
        <v>366</v>
      </c>
    </row>
    <row r="3">
      <c r="A3" s="6" t="s">
        <v>45</v>
      </c>
      <c r="B3" s="6" t="s">
        <v>46</v>
      </c>
      <c r="C3" s="7">
        <v>200.0</v>
      </c>
      <c r="D3" s="7">
        <v>1443.0</v>
      </c>
      <c r="E3" s="6" t="s">
        <v>364</v>
      </c>
      <c r="F3" s="7">
        <v>5400.0</v>
      </c>
      <c r="G3" s="7">
        <v>0.55</v>
      </c>
      <c r="H3" s="7">
        <v>0.8</v>
      </c>
      <c r="I3" s="32">
        <f t="shared" si="1"/>
        <v>122</v>
      </c>
      <c r="J3" s="15"/>
      <c r="K3" s="15" t="str">
        <f t="shared" si="2"/>
        <v>#DIV/0!</v>
      </c>
      <c r="L3" s="15">
        <f t="shared" si="3"/>
        <v>3.4</v>
      </c>
      <c r="M3" s="7">
        <v>70.0</v>
      </c>
      <c r="N3" s="7">
        <v>50.0</v>
      </c>
      <c r="O3" s="7">
        <v>20.0</v>
      </c>
      <c r="P3" s="7">
        <v>4000.0</v>
      </c>
      <c r="Q3" s="7">
        <v>80.0</v>
      </c>
      <c r="R3" s="7">
        <v>40.0</v>
      </c>
      <c r="S3" s="15">
        <f t="shared" si="4"/>
        <v>4880</v>
      </c>
      <c r="T3" s="15">
        <f t="shared" si="5"/>
        <v>3.4</v>
      </c>
      <c r="U3" s="32">
        <f t="shared" si="6"/>
        <v>2</v>
      </c>
      <c r="V3" s="6" t="s">
        <v>367</v>
      </c>
      <c r="W3" s="6" t="s">
        <v>368</v>
      </c>
    </row>
    <row r="4">
      <c r="A4" s="28" t="s">
        <v>51</v>
      </c>
      <c r="B4" s="28" t="s">
        <v>52</v>
      </c>
      <c r="C4" s="29">
        <v>150.0</v>
      </c>
      <c r="D4" s="29">
        <v>1804.0</v>
      </c>
      <c r="E4" s="28" t="s">
        <v>369</v>
      </c>
      <c r="F4" s="29">
        <v>1800.0</v>
      </c>
      <c r="G4" s="29">
        <v>0.5</v>
      </c>
      <c r="H4" s="29">
        <v>0.75</v>
      </c>
      <c r="I4" s="30">
        <f t="shared" si="1"/>
        <v>401</v>
      </c>
      <c r="J4" s="31"/>
      <c r="K4" s="31" t="str">
        <f t="shared" si="2"/>
        <v>#DIV/0!</v>
      </c>
      <c r="L4" s="31">
        <f t="shared" si="3"/>
        <v>2.1</v>
      </c>
      <c r="M4" s="29">
        <v>60.0</v>
      </c>
      <c r="N4" s="29">
        <v>40.0</v>
      </c>
      <c r="O4" s="29">
        <v>10.0</v>
      </c>
      <c r="P4" s="29">
        <v>4000.0</v>
      </c>
      <c r="Q4" s="29">
        <v>80.0</v>
      </c>
      <c r="R4" s="29">
        <v>15.0</v>
      </c>
      <c r="S4" s="31">
        <f t="shared" si="4"/>
        <v>6015</v>
      </c>
      <c r="T4" s="31">
        <f t="shared" si="5"/>
        <v>3.3</v>
      </c>
      <c r="U4" s="30">
        <f t="shared" si="6"/>
        <v>2</v>
      </c>
      <c r="V4" s="28" t="s">
        <v>370</v>
      </c>
      <c r="W4" s="28" t="s">
        <v>371</v>
      </c>
    </row>
    <row r="5">
      <c r="A5" s="6" t="s">
        <v>65</v>
      </c>
      <c r="B5" s="6" t="s">
        <v>66</v>
      </c>
      <c r="C5" s="7">
        <v>200.0</v>
      </c>
      <c r="D5" s="7">
        <v>577.0</v>
      </c>
      <c r="E5" s="6" t="s">
        <v>372</v>
      </c>
      <c r="F5" s="7">
        <v>3600.0</v>
      </c>
      <c r="G5" s="7">
        <v>0.5</v>
      </c>
      <c r="H5" s="7">
        <v>0.7</v>
      </c>
      <c r="I5" s="32">
        <f t="shared" si="1"/>
        <v>92</v>
      </c>
      <c r="J5" s="15"/>
      <c r="K5" s="15" t="str">
        <f t="shared" si="2"/>
        <v>#DIV/0!</v>
      </c>
      <c r="L5" s="15">
        <f t="shared" si="3"/>
        <v>2.5</v>
      </c>
      <c r="M5" s="7">
        <v>30.0</v>
      </c>
      <c r="N5" s="7">
        <v>30.0</v>
      </c>
      <c r="O5" s="7">
        <v>10.0</v>
      </c>
      <c r="P5" s="7">
        <v>5000.0</v>
      </c>
      <c r="Q5" s="7">
        <v>70.0</v>
      </c>
      <c r="R5" s="7">
        <v>30.0</v>
      </c>
      <c r="S5" s="15">
        <f t="shared" si="4"/>
        <v>2760</v>
      </c>
      <c r="T5" s="15">
        <f t="shared" si="5"/>
        <v>4.8</v>
      </c>
      <c r="U5" s="32">
        <f t="shared" si="6"/>
        <v>1</v>
      </c>
      <c r="V5" s="6" t="s">
        <v>373</v>
      </c>
      <c r="W5" s="6" t="s">
        <v>374</v>
      </c>
    </row>
    <row r="6">
      <c r="A6" s="28" t="s">
        <v>77</v>
      </c>
      <c r="B6" s="28" t="s">
        <v>78</v>
      </c>
      <c r="C6" s="29">
        <v>500.0</v>
      </c>
      <c r="D6" s="29">
        <v>361.0</v>
      </c>
      <c r="E6" s="28" t="s">
        <v>364</v>
      </c>
      <c r="F6" s="29">
        <v>5400.0</v>
      </c>
      <c r="G6" s="29">
        <v>0.65</v>
      </c>
      <c r="H6" s="29">
        <v>0.8</v>
      </c>
      <c r="I6" s="30">
        <f t="shared" si="1"/>
        <v>65</v>
      </c>
      <c r="J6" s="31"/>
      <c r="K6" s="31" t="str">
        <f t="shared" si="2"/>
        <v>#DIV/0!</v>
      </c>
      <c r="L6" s="31">
        <f t="shared" si="3"/>
        <v>2.4</v>
      </c>
      <c r="M6" s="29">
        <v>70.0</v>
      </c>
      <c r="N6" s="29">
        <v>50.0</v>
      </c>
      <c r="O6" s="29">
        <v>20.0</v>
      </c>
      <c r="P6" s="29">
        <v>5000.0</v>
      </c>
      <c r="Q6" s="29">
        <v>85.0</v>
      </c>
      <c r="R6" s="29">
        <v>40.0</v>
      </c>
      <c r="S6" s="31">
        <f t="shared" si="4"/>
        <v>2600</v>
      </c>
      <c r="T6" s="31">
        <f t="shared" si="5"/>
        <v>7.2</v>
      </c>
      <c r="U6" s="30">
        <f t="shared" si="6"/>
        <v>1</v>
      </c>
      <c r="V6" s="28" t="s">
        <v>375</v>
      </c>
      <c r="W6" s="28" t="s">
        <v>376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9.63"/>
    <col customWidth="1" min="3" max="3" width="19.75"/>
    <col customWidth="1" min="4" max="4" width="28.5"/>
    <col customWidth="1" min="5" max="5" width="12.0"/>
    <col customWidth="1" min="6" max="6" width="10.5"/>
    <col customWidth="1" min="7" max="7" width="6.25"/>
    <col customWidth="1" min="8" max="8" width="8.0"/>
    <col customWidth="1" min="9" max="9" width="8.25"/>
    <col customWidth="1" min="10" max="10" width="13.38"/>
    <col customWidth="1" min="11" max="11" width="11.13"/>
    <col customWidth="1" min="12" max="12" width="12.38"/>
    <col customWidth="1" min="13" max="13" width="12.0"/>
    <col customWidth="1" min="14" max="14" width="12.88"/>
    <col customWidth="1" min="15" max="15" width="10.88"/>
    <col customWidth="1" min="16" max="16" width="17.5"/>
    <col customWidth="1" min="17" max="17" width="10.25"/>
    <col customWidth="1" min="18" max="18" width="15.63"/>
    <col customWidth="1" min="19" max="19" width="8.38"/>
    <col customWidth="1" min="20" max="20" width="8.75"/>
    <col customWidth="1" min="21" max="21" width="11.88"/>
    <col customWidth="1" min="22" max="22" width="10.0"/>
    <col customWidth="1" min="23" max="23" width="24.88"/>
    <col customWidth="1" min="24" max="24" width="25.5"/>
    <col customWidth="1" min="25" max="25" width="14.5"/>
    <col customWidth="1" min="26" max="26" width="47.13"/>
  </cols>
  <sheetData>
    <row r="1">
      <c r="A1" s="33" t="s">
        <v>377</v>
      </c>
      <c r="B1" s="33" t="s">
        <v>153</v>
      </c>
      <c r="C1" s="33" t="s">
        <v>154</v>
      </c>
      <c r="D1" s="33" t="s">
        <v>378</v>
      </c>
      <c r="E1" s="33" t="s">
        <v>379</v>
      </c>
      <c r="F1" s="33" t="s">
        <v>88</v>
      </c>
      <c r="G1" s="33" t="s">
        <v>359</v>
      </c>
      <c r="H1" s="33" t="s">
        <v>380</v>
      </c>
      <c r="I1" s="33" t="s">
        <v>157</v>
      </c>
      <c r="J1" s="33" t="s">
        <v>381</v>
      </c>
      <c r="K1" s="33" t="s">
        <v>13</v>
      </c>
      <c r="L1" s="33" t="s">
        <v>382</v>
      </c>
      <c r="M1" s="33" t="s">
        <v>383</v>
      </c>
      <c r="N1" s="33" t="s">
        <v>384</v>
      </c>
      <c r="O1" s="33" t="s">
        <v>385</v>
      </c>
      <c r="P1" s="33" t="s">
        <v>20</v>
      </c>
      <c r="Q1" s="33" t="s">
        <v>21</v>
      </c>
      <c r="R1" s="33" t="s">
        <v>386</v>
      </c>
      <c r="S1" s="33" t="s">
        <v>387</v>
      </c>
      <c r="T1" s="33" t="s">
        <v>18</v>
      </c>
      <c r="U1" s="33" t="s">
        <v>388</v>
      </c>
      <c r="V1" s="33" t="s">
        <v>27</v>
      </c>
      <c r="W1" s="33" t="s">
        <v>389</v>
      </c>
      <c r="X1" s="33" t="s">
        <v>167</v>
      </c>
      <c r="Y1" s="33" t="s">
        <v>390</v>
      </c>
      <c r="Z1" s="33" t="s">
        <v>28</v>
      </c>
    </row>
    <row r="2">
      <c r="A2" s="34" t="s">
        <v>391</v>
      </c>
      <c r="B2" s="34" t="s">
        <v>392</v>
      </c>
      <c r="C2" s="34" t="s">
        <v>393</v>
      </c>
      <c r="D2" s="34" t="s">
        <v>394</v>
      </c>
      <c r="E2" s="35" t="s">
        <v>395</v>
      </c>
      <c r="F2" s="34" t="s">
        <v>147</v>
      </c>
      <c r="G2" s="36">
        <v>40.0</v>
      </c>
      <c r="H2" s="36">
        <v>5400.0</v>
      </c>
      <c r="I2" s="34">
        <v>220.0</v>
      </c>
      <c r="J2" s="34" t="s">
        <v>39</v>
      </c>
      <c r="K2" s="34" t="b">
        <v>0</v>
      </c>
      <c r="L2" s="34" t="s">
        <v>396</v>
      </c>
      <c r="M2" s="34" t="s">
        <v>397</v>
      </c>
      <c r="N2" s="34" t="s">
        <v>398</v>
      </c>
      <c r="O2" s="34" t="s">
        <v>399</v>
      </c>
      <c r="P2" s="34" t="s">
        <v>37</v>
      </c>
      <c r="Q2" s="34" t="s">
        <v>38</v>
      </c>
      <c r="R2" s="34" t="s">
        <v>400</v>
      </c>
      <c r="S2" s="34" t="s">
        <v>32</v>
      </c>
      <c r="T2" s="34">
        <v>1.0</v>
      </c>
      <c r="U2" s="34" t="s">
        <v>401</v>
      </c>
      <c r="V2" s="34" t="b">
        <v>0</v>
      </c>
      <c r="W2" s="34" t="s">
        <v>402</v>
      </c>
      <c r="X2" s="34" t="s">
        <v>403</v>
      </c>
      <c r="Y2" s="34" t="s">
        <v>404</v>
      </c>
      <c r="Z2" s="34" t="s">
        <v>405</v>
      </c>
    </row>
    <row r="3">
      <c r="A3" s="6" t="s">
        <v>406</v>
      </c>
      <c r="B3" s="6" t="s">
        <v>407</v>
      </c>
      <c r="C3" s="6" t="s">
        <v>408</v>
      </c>
      <c r="D3" s="6" t="s">
        <v>409</v>
      </c>
      <c r="E3" s="35" t="s">
        <v>395</v>
      </c>
      <c r="F3" s="6" t="s">
        <v>129</v>
      </c>
      <c r="G3" s="7">
        <v>20.0</v>
      </c>
      <c r="H3" s="6">
        <v>2000.0</v>
      </c>
      <c r="I3" s="6" t="s">
        <v>410</v>
      </c>
      <c r="J3" s="6" t="s">
        <v>48</v>
      </c>
      <c r="K3" s="6" t="b">
        <v>0</v>
      </c>
      <c r="L3" s="6" t="s">
        <v>411</v>
      </c>
      <c r="M3" s="6" t="s">
        <v>412</v>
      </c>
      <c r="N3" s="6" t="s">
        <v>413</v>
      </c>
      <c r="O3" s="6" t="s">
        <v>414</v>
      </c>
      <c r="P3" s="6" t="s">
        <v>415</v>
      </c>
      <c r="Q3" s="6" t="s">
        <v>416</v>
      </c>
      <c r="R3" s="6" t="s">
        <v>417</v>
      </c>
      <c r="S3" s="6">
        <v>60.0</v>
      </c>
      <c r="T3" s="6">
        <v>1.5</v>
      </c>
      <c r="U3" s="6" t="s">
        <v>57</v>
      </c>
      <c r="V3" s="6" t="b">
        <v>0</v>
      </c>
      <c r="W3" s="6" t="s">
        <v>418</v>
      </c>
      <c r="X3" s="6" t="s">
        <v>419</v>
      </c>
      <c r="Y3" s="6" t="s">
        <v>420</v>
      </c>
      <c r="Z3" s="6" t="s">
        <v>421</v>
      </c>
    </row>
    <row r="4">
      <c r="A4" s="34" t="s">
        <v>422</v>
      </c>
      <c r="B4" s="34" t="s">
        <v>423</v>
      </c>
      <c r="C4" s="34" t="s">
        <v>424</v>
      </c>
      <c r="D4" s="34" t="s">
        <v>425</v>
      </c>
      <c r="E4" s="37" t="s">
        <v>426</v>
      </c>
      <c r="F4" s="34" t="s">
        <v>52</v>
      </c>
      <c r="G4" s="36">
        <v>5.0</v>
      </c>
      <c r="H4" s="34">
        <v>400.0</v>
      </c>
      <c r="I4" s="34" t="s">
        <v>427</v>
      </c>
      <c r="J4" s="34" t="s">
        <v>48</v>
      </c>
      <c r="K4" s="34" t="b">
        <v>0</v>
      </c>
      <c r="L4" s="34" t="s">
        <v>428</v>
      </c>
      <c r="M4" s="34" t="s">
        <v>429</v>
      </c>
      <c r="N4" s="34" t="s">
        <v>430</v>
      </c>
      <c r="O4" s="34" t="s">
        <v>431</v>
      </c>
      <c r="P4" s="34" t="s">
        <v>432</v>
      </c>
      <c r="Q4" s="34" t="s">
        <v>59</v>
      </c>
      <c r="R4" s="34" t="s">
        <v>433</v>
      </c>
      <c r="S4" s="34">
        <v>60.0</v>
      </c>
      <c r="T4" s="34">
        <v>1.5</v>
      </c>
      <c r="U4" s="34" t="s">
        <v>57</v>
      </c>
      <c r="V4" s="34" t="b">
        <v>0</v>
      </c>
      <c r="W4" s="34" t="s">
        <v>434</v>
      </c>
      <c r="X4" s="34" t="s">
        <v>32</v>
      </c>
      <c r="Y4" s="34" t="s">
        <v>435</v>
      </c>
      <c r="Z4" s="34" t="s">
        <v>436</v>
      </c>
    </row>
    <row r="5">
      <c r="A5" s="6" t="s">
        <v>437</v>
      </c>
      <c r="B5" s="6" t="s">
        <v>438</v>
      </c>
      <c r="C5" s="6" t="s">
        <v>439</v>
      </c>
      <c r="D5" s="6" t="s">
        <v>440</v>
      </c>
      <c r="E5" s="38" t="s">
        <v>441</v>
      </c>
      <c r="F5" s="6" t="s">
        <v>442</v>
      </c>
      <c r="G5" s="7">
        <v>10.0</v>
      </c>
      <c r="H5" s="6">
        <v>800.0</v>
      </c>
      <c r="I5" s="6" t="s">
        <v>427</v>
      </c>
      <c r="J5" s="6" t="s">
        <v>48</v>
      </c>
      <c r="K5" s="6" t="b">
        <v>0</v>
      </c>
      <c r="L5" s="6" t="s">
        <v>443</v>
      </c>
      <c r="M5" s="6" t="s">
        <v>444</v>
      </c>
      <c r="N5" s="6" t="s">
        <v>445</v>
      </c>
      <c r="O5" s="6" t="s">
        <v>446</v>
      </c>
      <c r="P5" s="6" t="s">
        <v>447</v>
      </c>
      <c r="Q5" s="6" t="s">
        <v>416</v>
      </c>
      <c r="R5" s="6" t="s">
        <v>448</v>
      </c>
      <c r="S5" s="6">
        <v>60.0</v>
      </c>
      <c r="T5" s="6">
        <v>1.5</v>
      </c>
      <c r="U5" s="6" t="s">
        <v>57</v>
      </c>
      <c r="V5" s="6" t="b">
        <v>1</v>
      </c>
      <c r="W5" s="6" t="s">
        <v>449</v>
      </c>
      <c r="X5" s="6" t="s">
        <v>32</v>
      </c>
      <c r="Y5" s="6" t="s">
        <v>450</v>
      </c>
      <c r="Z5" s="6" t="s">
        <v>451</v>
      </c>
    </row>
    <row r="6">
      <c r="A6" s="34" t="s">
        <v>452</v>
      </c>
      <c r="B6" s="34" t="s">
        <v>453</v>
      </c>
      <c r="C6" s="34" t="s">
        <v>454</v>
      </c>
      <c r="D6" s="34" t="s">
        <v>455</v>
      </c>
      <c r="E6" s="38" t="s">
        <v>441</v>
      </c>
      <c r="F6" s="34" t="s">
        <v>52</v>
      </c>
      <c r="G6" s="36">
        <v>5.0</v>
      </c>
      <c r="H6" s="34">
        <v>400.0</v>
      </c>
      <c r="I6" s="34" t="s">
        <v>427</v>
      </c>
      <c r="J6" s="34" t="s">
        <v>48</v>
      </c>
      <c r="K6" s="34" t="b">
        <v>0</v>
      </c>
      <c r="L6" s="34" t="s">
        <v>456</v>
      </c>
      <c r="M6" s="34" t="s">
        <v>457</v>
      </c>
      <c r="N6" s="34" t="s">
        <v>458</v>
      </c>
      <c r="O6" s="34" t="s">
        <v>459</v>
      </c>
      <c r="P6" s="34" t="s">
        <v>447</v>
      </c>
      <c r="Q6" s="34" t="s">
        <v>416</v>
      </c>
      <c r="R6" s="34" t="s">
        <v>448</v>
      </c>
      <c r="S6" s="34">
        <v>60.0</v>
      </c>
      <c r="T6" s="34">
        <v>1.5</v>
      </c>
      <c r="U6" s="34" t="s">
        <v>460</v>
      </c>
      <c r="V6" s="34" t="b">
        <v>0</v>
      </c>
      <c r="W6" s="34" t="s">
        <v>461</v>
      </c>
      <c r="X6" s="34" t="s">
        <v>32</v>
      </c>
      <c r="Y6" s="34" t="s">
        <v>462</v>
      </c>
      <c r="Z6" s="34" t="s">
        <v>463</v>
      </c>
    </row>
    <row r="7">
      <c r="A7" s="6" t="s">
        <v>464</v>
      </c>
      <c r="B7" s="6" t="s">
        <v>465</v>
      </c>
      <c r="C7" s="6" t="s">
        <v>466</v>
      </c>
      <c r="D7" s="6" t="s">
        <v>467</v>
      </c>
      <c r="E7" s="35" t="s">
        <v>395</v>
      </c>
      <c r="F7" s="6" t="s">
        <v>66</v>
      </c>
      <c r="G7" s="7">
        <v>30.0</v>
      </c>
      <c r="H7" s="7">
        <v>3600.0</v>
      </c>
      <c r="I7" s="6">
        <v>220.0</v>
      </c>
      <c r="J7" s="6" t="s">
        <v>72</v>
      </c>
      <c r="K7" s="6" t="b">
        <v>1</v>
      </c>
      <c r="L7" s="6" t="s">
        <v>468</v>
      </c>
      <c r="M7" s="6" t="s">
        <v>469</v>
      </c>
      <c r="N7" s="6" t="s">
        <v>470</v>
      </c>
      <c r="O7" s="6" t="s">
        <v>471</v>
      </c>
      <c r="P7" s="6" t="s">
        <v>70</v>
      </c>
      <c r="Q7" s="6" t="s">
        <v>71</v>
      </c>
      <c r="R7" s="6" t="s">
        <v>73</v>
      </c>
      <c r="S7" s="6" t="s">
        <v>32</v>
      </c>
      <c r="T7" s="6">
        <v>1.5</v>
      </c>
      <c r="U7" s="6" t="s">
        <v>472</v>
      </c>
      <c r="V7" s="6" t="b">
        <v>0</v>
      </c>
      <c r="W7" s="6" t="s">
        <v>402</v>
      </c>
      <c r="X7" s="6" t="s">
        <v>473</v>
      </c>
      <c r="Y7" s="6" t="s">
        <v>32</v>
      </c>
      <c r="Z7" s="6" t="s">
        <v>474</v>
      </c>
    </row>
    <row r="8">
      <c r="A8" s="34" t="s">
        <v>475</v>
      </c>
      <c r="B8" s="34" t="s">
        <v>476</v>
      </c>
      <c r="C8" s="34" t="s">
        <v>477</v>
      </c>
      <c r="D8" s="34" t="s">
        <v>478</v>
      </c>
      <c r="E8" s="38" t="s">
        <v>441</v>
      </c>
      <c r="F8" s="34" t="s">
        <v>479</v>
      </c>
      <c r="G8" s="34" t="s">
        <v>32</v>
      </c>
      <c r="H8" s="34" t="s">
        <v>32</v>
      </c>
      <c r="I8" s="34">
        <v>220.0</v>
      </c>
      <c r="J8" s="34" t="s">
        <v>48</v>
      </c>
      <c r="K8" s="34" t="b">
        <v>0</v>
      </c>
      <c r="L8" s="34" t="s">
        <v>480</v>
      </c>
      <c r="M8" s="34" t="s">
        <v>481</v>
      </c>
      <c r="N8" s="34" t="s">
        <v>482</v>
      </c>
      <c r="O8" s="34" t="s">
        <v>483</v>
      </c>
      <c r="P8" s="34" t="s">
        <v>37</v>
      </c>
      <c r="Q8" s="34" t="s">
        <v>484</v>
      </c>
      <c r="R8" s="34" t="s">
        <v>485</v>
      </c>
      <c r="S8" s="34" t="s">
        <v>32</v>
      </c>
      <c r="T8" s="34">
        <v>1.0</v>
      </c>
      <c r="U8" s="34" t="s">
        <v>486</v>
      </c>
      <c r="V8" s="34" t="b">
        <v>0</v>
      </c>
      <c r="W8" s="34" t="s">
        <v>487</v>
      </c>
      <c r="X8" s="34" t="s">
        <v>243</v>
      </c>
      <c r="Y8" s="34" t="s">
        <v>32</v>
      </c>
      <c r="Z8" s="34" t="s">
        <v>488</v>
      </c>
    </row>
    <row r="9">
      <c r="A9" s="6" t="s">
        <v>489</v>
      </c>
      <c r="B9" s="6" t="s">
        <v>490</v>
      </c>
      <c r="C9" s="6" t="s">
        <v>491</v>
      </c>
      <c r="D9" s="6" t="s">
        <v>492</v>
      </c>
      <c r="E9" s="38" t="s">
        <v>441</v>
      </c>
      <c r="F9" s="6" t="s">
        <v>78</v>
      </c>
      <c r="G9" s="6" t="s">
        <v>32</v>
      </c>
      <c r="H9" s="6" t="s">
        <v>32</v>
      </c>
      <c r="I9" s="6">
        <v>220.0</v>
      </c>
      <c r="J9" s="6" t="s">
        <v>39</v>
      </c>
      <c r="K9" s="6" t="b">
        <v>0</v>
      </c>
      <c r="L9" s="6" t="s">
        <v>493</v>
      </c>
      <c r="M9" s="6" t="s">
        <v>494</v>
      </c>
      <c r="N9" s="6" t="s">
        <v>495</v>
      </c>
      <c r="O9" s="6" t="s">
        <v>496</v>
      </c>
      <c r="P9" s="6" t="s">
        <v>80</v>
      </c>
      <c r="Q9" s="6" t="s">
        <v>484</v>
      </c>
      <c r="R9" s="6" t="s">
        <v>497</v>
      </c>
      <c r="S9" s="6" t="s">
        <v>32</v>
      </c>
      <c r="T9" s="6">
        <v>1.5</v>
      </c>
      <c r="U9" s="6" t="s">
        <v>498</v>
      </c>
      <c r="V9" s="6" t="b">
        <v>0</v>
      </c>
      <c r="W9" s="6" t="s">
        <v>499</v>
      </c>
      <c r="X9" s="6" t="s">
        <v>500</v>
      </c>
      <c r="Y9" s="6" t="s">
        <v>32</v>
      </c>
      <c r="Z9" s="6" t="s">
        <v>501</v>
      </c>
    </row>
    <row r="10">
      <c r="A10" s="34" t="s">
        <v>502</v>
      </c>
      <c r="B10" s="34" t="s">
        <v>223</v>
      </c>
      <c r="C10" s="34" t="s">
        <v>503</v>
      </c>
      <c r="D10" s="34" t="s">
        <v>504</v>
      </c>
      <c r="E10" s="38" t="s">
        <v>441</v>
      </c>
      <c r="F10" s="34" t="s">
        <v>30</v>
      </c>
      <c r="G10" s="34" t="s">
        <v>32</v>
      </c>
      <c r="H10" s="34" t="s">
        <v>32</v>
      </c>
      <c r="I10" s="34">
        <v>220.0</v>
      </c>
      <c r="J10" s="34" t="s">
        <v>48</v>
      </c>
      <c r="K10" s="34" t="b">
        <v>0</v>
      </c>
      <c r="L10" s="34" t="s">
        <v>505</v>
      </c>
      <c r="M10" s="34" t="s">
        <v>506</v>
      </c>
      <c r="N10" s="34" t="s">
        <v>507</v>
      </c>
      <c r="O10" s="34" t="s">
        <v>508</v>
      </c>
      <c r="P10" s="34" t="s">
        <v>37</v>
      </c>
      <c r="Q10" s="34" t="s">
        <v>484</v>
      </c>
      <c r="R10" s="34" t="s">
        <v>509</v>
      </c>
      <c r="S10" s="34" t="s">
        <v>32</v>
      </c>
      <c r="T10" s="34">
        <v>1.0</v>
      </c>
      <c r="U10" s="34" t="s">
        <v>486</v>
      </c>
      <c r="V10" s="34" t="b">
        <v>1</v>
      </c>
      <c r="W10" s="34" t="s">
        <v>510</v>
      </c>
      <c r="X10" s="34" t="s">
        <v>230</v>
      </c>
      <c r="Y10" s="34" t="s">
        <v>32</v>
      </c>
      <c r="Z10" s="34" t="s">
        <v>511</v>
      </c>
    </row>
    <row r="11">
      <c r="A11" s="6" t="s">
        <v>512</v>
      </c>
      <c r="B11" s="6" t="s">
        <v>513</v>
      </c>
      <c r="C11" s="6" t="s">
        <v>514</v>
      </c>
      <c r="D11" s="6" t="s">
        <v>515</v>
      </c>
      <c r="E11" s="38" t="s">
        <v>441</v>
      </c>
      <c r="F11" s="6" t="s">
        <v>516</v>
      </c>
      <c r="G11" s="6" t="s">
        <v>32</v>
      </c>
      <c r="H11" s="6" t="s">
        <v>32</v>
      </c>
      <c r="I11" s="6">
        <v>220.0</v>
      </c>
      <c r="J11" s="6" t="s">
        <v>48</v>
      </c>
      <c r="K11" s="6" t="b">
        <v>0</v>
      </c>
      <c r="L11" s="6" t="s">
        <v>480</v>
      </c>
      <c r="M11" s="6" t="s">
        <v>517</v>
      </c>
      <c r="N11" s="6" t="s">
        <v>518</v>
      </c>
      <c r="O11" s="6" t="s">
        <v>483</v>
      </c>
      <c r="P11" s="6" t="s">
        <v>415</v>
      </c>
      <c r="Q11" s="6" t="s">
        <v>416</v>
      </c>
      <c r="R11" s="6" t="s">
        <v>519</v>
      </c>
      <c r="S11" s="7">
        <v>60.0</v>
      </c>
      <c r="T11" s="6">
        <v>1.5</v>
      </c>
      <c r="U11" s="6" t="s">
        <v>486</v>
      </c>
      <c r="V11" s="6" t="b">
        <v>0</v>
      </c>
      <c r="W11" s="6" t="s">
        <v>520</v>
      </c>
      <c r="X11" s="6" t="s">
        <v>521</v>
      </c>
      <c r="Y11" s="6" t="s">
        <v>32</v>
      </c>
      <c r="Z11" s="6" t="s">
        <v>522</v>
      </c>
    </row>
    <row r="12">
      <c r="A12" s="39" t="s">
        <v>523</v>
      </c>
      <c r="B12" s="39" t="s">
        <v>524</v>
      </c>
      <c r="C12" s="39" t="s">
        <v>525</v>
      </c>
      <c r="D12" s="39" t="s">
        <v>526</v>
      </c>
      <c r="E12" s="40" t="s">
        <v>395</v>
      </c>
      <c r="F12" s="39" t="s">
        <v>129</v>
      </c>
      <c r="G12" s="41">
        <v>30.0</v>
      </c>
      <c r="H12" s="39" t="s">
        <v>32</v>
      </c>
      <c r="I12" s="41">
        <v>220.0</v>
      </c>
      <c r="J12" s="39" t="s">
        <v>48</v>
      </c>
      <c r="K12" s="39" t="b">
        <v>0</v>
      </c>
      <c r="L12" s="39" t="s">
        <v>527</v>
      </c>
      <c r="M12" s="39" t="s">
        <v>528</v>
      </c>
      <c r="N12" s="39" t="s">
        <v>529</v>
      </c>
      <c r="O12" s="39" t="s">
        <v>530</v>
      </c>
      <c r="P12" s="39" t="s">
        <v>531</v>
      </c>
      <c r="Q12" s="39" t="s">
        <v>416</v>
      </c>
      <c r="R12" s="39" t="s">
        <v>532</v>
      </c>
      <c r="S12" s="41">
        <v>60.0</v>
      </c>
      <c r="T12" s="41">
        <v>1.5</v>
      </c>
      <c r="U12" s="39" t="s">
        <v>57</v>
      </c>
      <c r="V12" s="39" t="b">
        <v>0</v>
      </c>
      <c r="W12" s="39" t="s">
        <v>533</v>
      </c>
      <c r="X12" s="39" t="s">
        <v>534</v>
      </c>
      <c r="Y12" s="39" t="s">
        <v>535</v>
      </c>
      <c r="Z12" s="39" t="s">
        <v>536</v>
      </c>
    </row>
    <row r="13">
      <c r="A13" s="39" t="s">
        <v>537</v>
      </c>
      <c r="B13" s="39" t="s">
        <v>538</v>
      </c>
      <c r="C13" s="39" t="s">
        <v>539</v>
      </c>
      <c r="D13" s="39" t="s">
        <v>540</v>
      </c>
      <c r="E13" s="40" t="s">
        <v>441</v>
      </c>
      <c r="F13" s="39" t="s">
        <v>324</v>
      </c>
      <c r="G13" s="39" t="s">
        <v>32</v>
      </c>
      <c r="H13" s="39" t="s">
        <v>32</v>
      </c>
      <c r="I13" s="41">
        <v>220.0</v>
      </c>
      <c r="J13" s="39" t="s">
        <v>48</v>
      </c>
      <c r="K13" s="39" t="b">
        <v>0</v>
      </c>
      <c r="L13" s="39" t="s">
        <v>541</v>
      </c>
      <c r="M13" s="39" t="s">
        <v>494</v>
      </c>
      <c r="N13" s="39" t="s">
        <v>542</v>
      </c>
      <c r="O13" s="39" t="s">
        <v>543</v>
      </c>
      <c r="P13" s="39" t="s">
        <v>415</v>
      </c>
      <c r="Q13" s="39" t="s">
        <v>416</v>
      </c>
      <c r="R13" s="39" t="s">
        <v>544</v>
      </c>
      <c r="S13" s="41">
        <v>60.0</v>
      </c>
      <c r="T13" s="41">
        <v>1.5</v>
      </c>
      <c r="U13" s="39" t="s">
        <v>57</v>
      </c>
      <c r="V13" s="39" t="b">
        <v>0</v>
      </c>
      <c r="W13" s="39" t="s">
        <v>545</v>
      </c>
      <c r="X13" s="39" t="s">
        <v>546</v>
      </c>
      <c r="Y13" s="39" t="s">
        <v>32</v>
      </c>
      <c r="Z13" s="39" t="s">
        <v>547</v>
      </c>
    </row>
  </sheetData>
  <drawing r:id="rId1"/>
</worksheet>
</file>